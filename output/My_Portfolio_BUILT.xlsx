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_Log" sheetId="2" state="visible" r:id="rId2"/>
    <sheet name="Market_Data" sheetId="3" state="visible" r:id="rId3"/>
    <sheet name="Reference_Data" sheetId="4" state="visible" r:id="rId4"/>
    <sheet name="Daily_Units" sheetId="5" state="visible" r:id="rId5"/>
    <sheet name="Daily_Cash" sheetId="6" state="visible" r:id="rId6"/>
    <sheet name="Positions" sheetId="7" state="visible" r:id="rId7"/>
    <sheet name="Equity_Curve" sheetId="8" state="visible" r:id="rId8"/>
    <sheet name="Sector_Exposure" sheetId="9" state="visible" r:id="rId9"/>
    <sheet name="Geographic_Exposur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"/>
    <numFmt numFmtId="165" formatCode="$#,##0.00"/>
    <numFmt numFmtId="166" formatCode="yyyy-mm-dd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C2541"/>
      <sz val="16"/>
    </font>
    <font>
      <name val="Segoe UI"/>
      <color rgb="00555555"/>
      <sz val="10"/>
    </font>
    <font>
      <name val="Segoe UI"/>
      <b val="1"/>
      <color rgb="001C2541"/>
      <sz val="20"/>
    </font>
    <font>
      <name val="Segoe UI"/>
      <b val="1"/>
      <color rgb="001C2541"/>
      <sz val="14"/>
    </font>
  </fonts>
  <fills count="4">
    <fill>
      <patternFill/>
    </fill>
    <fill>
      <patternFill patternType="gray125"/>
    </fill>
    <fill>
      <patternFill patternType="solid">
        <fgColor rgb="001C2541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2" fontId="5" fillId="0" borderId="0" pivotButton="0" quotePrefix="0" xfId="0"/>
    <xf numFmtId="165" fontId="6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165" fontId="2" fillId="3" borderId="0" pivotButton="0" quotePrefix="0" xfId="0"/>
    <xf numFmtId="166" fontId="2" fillId="0" borderId="0" pivotButton="0" quotePrefix="0" xfId="0"/>
    <xf numFmtId="166" fontId="2" fillId="3" borderId="0" pivotButton="0" quotePrefix="0" xfId="0"/>
    <xf numFmtId="10" fontId="2" fillId="0" borderId="0" pivotButton="0" quotePrefix="0" xfId="0"/>
    <xf numFmtId="10" fontId="2" fillId="3" borderId="0" pivotButton="0" quotePrefix="0" xfId="0"/>
  </cellXfs>
  <cellStyles count="1">
    <cellStyle name="Normal" xfId="0" builtinId="0" hidden="0"/>
  </cellStyles>
  <dxfs count="2">
    <dxf>
      <font>
        <name val="Segoe UI"/>
        <color rgb="00007A33"/>
      </font>
    </dxf>
    <dxf>
      <font>
        <name val="Segoe UI"/>
        <color rgb="00B81D13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NAV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'Equity_Curve'!D1</f>
            </strRef>
          </tx>
          <spPr>
            <a:ln w="20000">
              <a:solidFill>
                <a:srgbClr val="1C254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'Equity_Curve'!$A$2:$A$262</f>
            </numRef>
          </cat>
          <val>
            <numRef>
              <f>'Equity_Curve'!$D$2:$D$262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NAV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Portfolio Allocation by Position</a:t>
            </a:r>
          </a:p>
        </rich>
      </tx>
    </title>
    <plotArea>
      <pieChart>
        <varyColors val="1"/>
        <ser>
          <idx val="0"/>
          <order val="0"/>
          <tx>
            <strRef>
              <f>'Positions'!J1</f>
            </strRef>
          </tx>
          <spPr>
            <a:ln>
              <a:prstDash val="solid"/>
            </a:ln>
          </spPr>
          <cat>
            <numRef>
              <f>'Positions'!$A$2:$A$19</f>
            </numRef>
          </cat>
          <val>
            <numRef>
              <f>'Positions'!$J$2:$J$19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11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9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1" t="inlineStr">
        <is>
          <t>Portfolio Dashboard</t>
        </is>
      </c>
    </row>
    <row r="4">
      <c r="B4" s="2" t="inlineStr">
        <is>
          <t>Net Asset Value</t>
        </is>
      </c>
      <c r="D4" s="2" t="inlineStr">
        <is>
          <t>Total Return</t>
        </is>
      </c>
      <c r="F4" s="2" t="inlineStr">
        <is>
          <t>Sharpe Ratio (ann.)</t>
        </is>
      </c>
      <c r="H4" s="2" t="inlineStr">
        <is>
          <t>Max Drawdown</t>
        </is>
      </c>
    </row>
    <row r="5">
      <c r="B5" s="3">
        <f>Equity_Curve!D262</f>
        <v/>
      </c>
      <c r="D5" s="4">
        <f>Equity_Curve!F262</f>
        <v/>
      </c>
      <c r="F5" s="5">
        <f>AVERAGE(Equity_Curve!E3:E262)/STDEV(Equity_Curve!E3:E262)*SQRT(252)</f>
        <v/>
      </c>
      <c r="H5" s="4">
        <f>MIN(Equity_Curve!G2:G262)</f>
        <v/>
      </c>
    </row>
    <row r="8">
      <c r="B8" s="2" t="inlineStr">
        <is>
          <t>Cash</t>
        </is>
      </c>
      <c r="D8" s="2" t="inlineStr">
        <is>
          <t>Invested Value</t>
        </is>
      </c>
    </row>
    <row r="9">
      <c r="B9" s="6">
        <f>Equity_Curve!B262</f>
        <v/>
      </c>
      <c r="D9" s="6">
        <f>Equity_Curve!C262</f>
        <v/>
      </c>
    </row>
  </sheetData>
  <conditionalFormatting sqref="D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5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2"/>
  <sheetViews>
    <sheetView showGridLines="0"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0" customHeight="1">
      <c r="A1" s="7" t="inlineStr">
        <is>
          <t>Date</t>
        </is>
      </c>
      <c r="B1" s="7" t="inlineStr">
        <is>
          <t>Symbol</t>
        </is>
      </c>
      <c r="C1" s="7" t="inlineStr">
        <is>
          <t>Company</t>
        </is>
      </c>
      <c r="D1" s="7" t="inlineStr">
        <is>
          <t>SecType</t>
        </is>
      </c>
      <c r="E1" s="7" t="inlineStr">
        <is>
          <t>Currency</t>
        </is>
      </c>
      <c r="F1" s="7" t="inlineStr">
        <is>
          <t>Side</t>
        </is>
      </c>
      <c r="G1" s="7" t="inlineStr">
        <is>
          <t>Size</t>
        </is>
      </c>
      <c r="H1" s="7" t="inlineStr">
        <is>
          <t>Price</t>
        </is>
      </c>
      <c r="I1" s="7" t="inlineStr">
        <is>
          <t>Commission</t>
        </is>
      </c>
      <c r="J1" s="7" t="inlineStr">
        <is>
          <t>NetAmount</t>
        </is>
      </c>
      <c r="K1" s="7" t="inlineStr">
        <is>
          <t>RealizedPnL</t>
        </is>
      </c>
      <c r="L1" s="7" t="inlineStr">
        <is>
          <t>Exchange</t>
        </is>
      </c>
      <c r="M1" s="7" t="inlineStr">
        <is>
          <t>OrderType</t>
        </is>
      </c>
    </row>
    <row r="2">
      <c r="A2" s="8" t="inlineStr">
        <is>
          <t>2025-07-08</t>
        </is>
      </c>
      <c r="B2" s="8" t="inlineStr">
        <is>
          <t>SBET</t>
        </is>
      </c>
      <c r="C2" s="8" t="inlineStr">
        <is>
          <t>SHARPLINK INC</t>
        </is>
      </c>
      <c r="D2" s="8" t="inlineStr">
        <is>
          <t>STK</t>
        </is>
      </c>
      <c r="E2" s="8" t="inlineStr">
        <is>
          <t>USD</t>
        </is>
      </c>
      <c r="F2" s="8" t="inlineStr">
        <is>
          <t>BUY</t>
        </is>
      </c>
      <c r="G2" s="8" t="n">
        <v>3</v>
      </c>
      <c r="H2" s="9" t="n">
        <v>15.72</v>
      </c>
      <c r="I2" s="10" t="n">
        <v>0.35093825</v>
      </c>
      <c r="J2" s="10" t="n">
        <v>47.16</v>
      </c>
      <c r="K2" s="10" t="n">
        <v>0</v>
      </c>
      <c r="L2" s="8" t="inlineStr">
        <is>
          <t>DARK</t>
        </is>
      </c>
      <c r="M2" s="8" t="inlineStr">
        <is>
          <t>MARKET</t>
        </is>
      </c>
    </row>
    <row r="3">
      <c r="A3" s="11" t="inlineStr">
        <is>
          <t>2025-07-08</t>
        </is>
      </c>
      <c r="B3" s="11" t="inlineStr">
        <is>
          <t>GDX</t>
        </is>
      </c>
      <c r="C3" s="11" t="inlineStr">
        <is>
          <t>VANECK GOLD MINERS ETF</t>
        </is>
      </c>
      <c r="D3" s="11" t="inlineStr">
        <is>
          <t>STK</t>
        </is>
      </c>
      <c r="E3" s="11" t="inlineStr">
        <is>
          <t>USD</t>
        </is>
      </c>
      <c r="F3" s="11" t="inlineStr">
        <is>
          <t>BUY</t>
        </is>
      </c>
      <c r="G3" s="11" t="n">
        <v>5</v>
      </c>
      <c r="H3" s="12" t="n">
        <v>50.445</v>
      </c>
      <c r="I3" s="13" t="n">
        <v>0.35139225</v>
      </c>
      <c r="J3" s="13" t="n">
        <v>252.225</v>
      </c>
      <c r="K3" s="13" t="n">
        <v>0</v>
      </c>
      <c r="L3" s="11" t="inlineStr">
        <is>
          <t>IBKRATS</t>
        </is>
      </c>
      <c r="M3" s="11" t="inlineStr">
        <is>
          <t>MARKET</t>
        </is>
      </c>
    </row>
    <row r="4">
      <c r="A4" s="8" t="inlineStr">
        <is>
          <t>2025-07-08</t>
        </is>
      </c>
      <c r="B4" s="8" t="inlineStr">
        <is>
          <t>SIL</t>
        </is>
      </c>
      <c r="C4" s="8" t="inlineStr">
        <is>
          <t>GLOBAL X SILVER MINERS ETF</t>
        </is>
      </c>
      <c r="D4" s="8" t="inlineStr">
        <is>
          <t>STK</t>
        </is>
      </c>
      <c r="E4" s="8" t="inlineStr">
        <is>
          <t>USD</t>
        </is>
      </c>
      <c r="F4" s="8" t="inlineStr">
        <is>
          <t>BUY</t>
        </is>
      </c>
      <c r="G4" s="8" t="n">
        <v>3</v>
      </c>
      <c r="H4" s="9" t="n">
        <v>47.505</v>
      </c>
      <c r="I4" s="10" t="n">
        <v>0.35093825</v>
      </c>
      <c r="J4" s="10" t="n">
        <v>142.515</v>
      </c>
      <c r="K4" s="10" t="n">
        <v>0</v>
      </c>
      <c r="L4" s="8" t="inlineStr">
        <is>
          <t>DARK</t>
        </is>
      </c>
      <c r="M4" s="8" t="inlineStr">
        <is>
          <t>MARKET</t>
        </is>
      </c>
    </row>
    <row r="5">
      <c r="A5" s="11" t="inlineStr">
        <is>
          <t>2025-07-08</t>
        </is>
      </c>
      <c r="B5" s="11" t="inlineStr">
        <is>
          <t>COPX</t>
        </is>
      </c>
      <c r="C5" s="11" t="inlineStr">
        <is>
          <t>GLOBAL X COPPER MINERS ETF</t>
        </is>
      </c>
      <c r="D5" s="11" t="inlineStr">
        <is>
          <t>STK</t>
        </is>
      </c>
      <c r="E5" s="11" t="inlineStr">
        <is>
          <t>USD</t>
        </is>
      </c>
      <c r="F5" s="11" t="inlineStr">
        <is>
          <t>BUY</t>
        </is>
      </c>
      <c r="G5" s="11" t="n">
        <v>5</v>
      </c>
      <c r="H5" s="12" t="n">
        <v>45.83</v>
      </c>
      <c r="I5" s="13" t="n">
        <v>0.35139225</v>
      </c>
      <c r="J5" s="13" t="n">
        <v>229.15</v>
      </c>
      <c r="K5" s="13" t="n">
        <v>0</v>
      </c>
      <c r="L5" s="11" t="inlineStr">
        <is>
          <t>IBKRATS</t>
        </is>
      </c>
      <c r="M5" s="11" t="inlineStr">
        <is>
          <t>LIMIT</t>
        </is>
      </c>
    </row>
    <row r="6">
      <c r="A6" s="8" t="inlineStr">
        <is>
          <t>2025-07-11</t>
        </is>
      </c>
      <c r="B6" s="8" t="inlineStr">
        <is>
          <t>SBET</t>
        </is>
      </c>
      <c r="C6" s="8" t="inlineStr">
        <is>
          <t>SHARPLINK INC</t>
        </is>
      </c>
      <c r="D6" s="8" t="inlineStr">
        <is>
          <t>STK</t>
        </is>
      </c>
      <c r="E6" s="8" t="inlineStr">
        <is>
          <t>USD</t>
        </is>
      </c>
      <c r="F6" s="8" t="inlineStr">
        <is>
          <t>SELL</t>
        </is>
      </c>
      <c r="G6" s="8" t="n">
        <v>3</v>
      </c>
      <c r="H6" s="9" t="n">
        <v>21.115</v>
      </c>
      <c r="I6" s="10" t="n">
        <v>0.35143625</v>
      </c>
      <c r="J6" s="10" t="n">
        <v>63.345</v>
      </c>
      <c r="K6" s="10" t="n">
        <v>15.482626</v>
      </c>
      <c r="L6" s="8" t="inlineStr">
        <is>
          <t>DARK</t>
        </is>
      </c>
      <c r="M6" s="8" t="inlineStr">
        <is>
          <t>MARKET</t>
        </is>
      </c>
    </row>
    <row r="7">
      <c r="A7" s="11" t="inlineStr">
        <is>
          <t>2025-07-14</t>
        </is>
      </c>
      <c r="B7" s="11" t="inlineStr">
        <is>
          <t>IREN</t>
        </is>
      </c>
      <c r="C7" s="11" t="inlineStr">
        <is>
          <t>IREN LTD</t>
        </is>
      </c>
      <c r="D7" s="11" t="inlineStr">
        <is>
          <t>STK</t>
        </is>
      </c>
      <c r="E7" s="11" t="inlineStr">
        <is>
          <t>USD</t>
        </is>
      </c>
      <c r="F7" s="11" t="inlineStr">
        <is>
          <t>BUY</t>
        </is>
      </c>
      <c r="G7" s="11" t="n">
        <v>7</v>
      </c>
      <c r="H7" s="12" t="n">
        <v>18.4391</v>
      </c>
      <c r="I7" s="13" t="n">
        <v>0.35184625</v>
      </c>
      <c r="J7" s="13" t="n">
        <v>129.0737</v>
      </c>
      <c r="K7" s="13" t="n">
        <v>0</v>
      </c>
      <c r="L7" s="11" t="inlineStr">
        <is>
          <t>DARK</t>
        </is>
      </c>
      <c r="M7" s="11" t="inlineStr">
        <is>
          <t>MARKET</t>
        </is>
      </c>
    </row>
    <row r="8">
      <c r="A8" s="8" t="inlineStr">
        <is>
          <t>2025-07-14</t>
        </is>
      </c>
      <c r="B8" s="8" t="inlineStr">
        <is>
          <t>CLSK</t>
        </is>
      </c>
      <c r="C8" s="8" t="inlineStr">
        <is>
          <t>CLEANSPARK INC</t>
        </is>
      </c>
      <c r="D8" s="8" t="inlineStr">
        <is>
          <t>STK</t>
        </is>
      </c>
      <c r="E8" s="8" t="inlineStr">
        <is>
          <t>USD</t>
        </is>
      </c>
      <c r="F8" s="8" t="inlineStr">
        <is>
          <t>BUY</t>
        </is>
      </c>
      <c r="G8" s="8" t="n">
        <v>6</v>
      </c>
      <c r="H8" s="9" t="n">
        <v>13.54</v>
      </c>
      <c r="I8" s="10" t="n">
        <v>0.34378925</v>
      </c>
      <c r="J8" s="10" t="n">
        <v>81.23999999999999</v>
      </c>
      <c r="K8" s="10" t="n">
        <v>0</v>
      </c>
      <c r="L8" s="8" t="inlineStr">
        <is>
          <t>ISLAND</t>
        </is>
      </c>
      <c r="M8" s="8" t="inlineStr">
        <is>
          <t>LIMIT</t>
        </is>
      </c>
    </row>
    <row r="9">
      <c r="A9" s="11" t="inlineStr">
        <is>
          <t>2025-07-14</t>
        </is>
      </c>
      <c r="B9" s="11" t="inlineStr">
        <is>
          <t>OKLO</t>
        </is>
      </c>
      <c r="C9" s="11" t="inlineStr">
        <is>
          <t>OKLO INC</t>
        </is>
      </c>
      <c r="D9" s="11" t="inlineStr">
        <is>
          <t>STK</t>
        </is>
      </c>
      <c r="E9" s="11" t="inlineStr">
        <is>
          <t>USD</t>
        </is>
      </c>
      <c r="F9" s="11" t="inlineStr">
        <is>
          <t>BUY</t>
        </is>
      </c>
      <c r="G9" s="11" t="n">
        <v>2</v>
      </c>
      <c r="H9" s="12" t="n">
        <v>57.76</v>
      </c>
      <c r="I9" s="13" t="n">
        <v>0.34830125</v>
      </c>
      <c r="J9" s="13" t="n">
        <v>115.52</v>
      </c>
      <c r="K9" s="13" t="n">
        <v>0</v>
      </c>
      <c r="L9" s="11" t="inlineStr">
        <is>
          <t>NYSE</t>
        </is>
      </c>
      <c r="M9" s="11" t="inlineStr">
        <is>
          <t>LIMIT</t>
        </is>
      </c>
    </row>
    <row r="10">
      <c r="A10" s="8" t="inlineStr">
        <is>
          <t>2025-07-14</t>
        </is>
      </c>
      <c r="B10" s="8" t="inlineStr">
        <is>
          <t>ARGT</t>
        </is>
      </c>
      <c r="C10" s="8" t="inlineStr">
        <is>
          <t>GLOBAL X MSCI ARGENTINA ETF</t>
        </is>
      </c>
      <c r="D10" s="8" t="inlineStr">
        <is>
          <t>STK</t>
        </is>
      </c>
      <c r="E10" s="8" t="inlineStr">
        <is>
          <t>USD</t>
        </is>
      </c>
      <c r="F10" s="8" t="inlineStr">
        <is>
          <t>BUY</t>
        </is>
      </c>
      <c r="G10" s="8" t="n">
        <v>3</v>
      </c>
      <c r="H10" s="9" t="n">
        <v>79.89</v>
      </c>
      <c r="I10" s="10" t="n">
        <v>0.35093825</v>
      </c>
      <c r="J10" s="10" t="n">
        <v>239.67</v>
      </c>
      <c r="K10" s="10" t="n">
        <v>0</v>
      </c>
      <c r="L10" s="8" t="inlineStr">
        <is>
          <t>IBKRATS</t>
        </is>
      </c>
      <c r="M10" s="8" t="inlineStr">
        <is>
          <t>MARKET</t>
        </is>
      </c>
    </row>
    <row r="11">
      <c r="A11" s="11" t="inlineStr">
        <is>
          <t>2025-07-16</t>
        </is>
      </c>
      <c r="B11" s="11" t="inlineStr">
        <is>
          <t>SIL</t>
        </is>
      </c>
      <c r="C11" s="11" t="inlineStr">
        <is>
          <t>GLOBAL X SILVER MINERS ETF</t>
        </is>
      </c>
      <c r="D11" s="11" t="inlineStr">
        <is>
          <t>STK</t>
        </is>
      </c>
      <c r="E11" s="11" t="inlineStr">
        <is>
          <t>USD</t>
        </is>
      </c>
      <c r="F11" s="11" t="inlineStr">
        <is>
          <t>BUY</t>
        </is>
      </c>
      <c r="G11" s="11" t="n">
        <v>4</v>
      </c>
      <c r="H11" s="12" t="n">
        <v>48.81</v>
      </c>
      <c r="I11" s="13" t="n">
        <v>0.35114525</v>
      </c>
      <c r="J11" s="13" t="n">
        <v>195.24</v>
      </c>
      <c r="K11" s="13" t="n">
        <v>0</v>
      </c>
      <c r="L11" s="11" t="inlineStr">
        <is>
          <t>DRCTEDGE</t>
        </is>
      </c>
      <c r="M11" s="11" t="inlineStr">
        <is>
          <t>LIMIT</t>
        </is>
      </c>
    </row>
    <row r="12">
      <c r="A12" s="8" t="inlineStr">
        <is>
          <t>2025-07-22</t>
        </is>
      </c>
      <c r="B12" s="8" t="inlineStr">
        <is>
          <t>BIDU</t>
        </is>
      </c>
      <c r="C12" s="8" t="inlineStr">
        <is>
          <t>BAIDU INC - SPON ADR</t>
        </is>
      </c>
      <c r="D12" s="8" t="inlineStr">
        <is>
          <t>STK</t>
        </is>
      </c>
      <c r="E12" s="8" t="inlineStr">
        <is>
          <t>USD</t>
        </is>
      </c>
      <c r="F12" s="8" t="inlineStr">
        <is>
          <t>BUY</t>
        </is>
      </c>
      <c r="G12" s="8" t="n">
        <v>2</v>
      </c>
      <c r="H12" s="9" t="n">
        <v>92.64</v>
      </c>
      <c r="I12" s="10" t="n">
        <v>0.34810125</v>
      </c>
      <c r="J12" s="10" t="n">
        <v>185.28</v>
      </c>
      <c r="K12" s="10" t="n">
        <v>0</v>
      </c>
      <c r="L12" s="8" t="inlineStr">
        <is>
          <t>ISLAND</t>
        </is>
      </c>
      <c r="M12" s="8" t="inlineStr">
        <is>
          <t>LIMIT</t>
        </is>
      </c>
    </row>
    <row r="13">
      <c r="A13" s="11" t="inlineStr">
        <is>
          <t>2025-07-23</t>
        </is>
      </c>
      <c r="B13" s="11" t="inlineStr">
        <is>
          <t>ARGT</t>
        </is>
      </c>
      <c r="C13" s="11" t="inlineStr">
        <is>
          <t>GLOBAL X MSCI ARGENTINA ETF</t>
        </is>
      </c>
      <c r="D13" s="11" t="inlineStr">
        <is>
          <t>STK</t>
        </is>
      </c>
      <c r="E13" s="11" t="inlineStr">
        <is>
          <t>USD</t>
        </is>
      </c>
      <c r="F13" s="11" t="inlineStr">
        <is>
          <t>BUY</t>
        </is>
      </c>
      <c r="G13" s="11" t="n">
        <v>2</v>
      </c>
      <c r="H13" s="12" t="n">
        <v>81.375</v>
      </c>
      <c r="I13" s="13" t="n">
        <v>0.35071125</v>
      </c>
      <c r="J13" s="13" t="n">
        <v>162.75</v>
      </c>
      <c r="K13" s="13" t="n">
        <v>0</v>
      </c>
      <c r="L13" s="11" t="inlineStr">
        <is>
          <t>DARK</t>
        </is>
      </c>
      <c r="M13" s="11" t="inlineStr">
        <is>
          <t>LIMIT</t>
        </is>
      </c>
    </row>
    <row r="14">
      <c r="A14" s="8" t="inlineStr">
        <is>
          <t>2025-07-24</t>
        </is>
      </c>
      <c r="B14" s="8" t="inlineStr">
        <is>
          <t>OKLO</t>
        </is>
      </c>
      <c r="C14" s="8" t="inlineStr">
        <is>
          <t>OKLO INC</t>
        </is>
      </c>
      <c r="D14" s="8" t="inlineStr">
        <is>
          <t>STK</t>
        </is>
      </c>
      <c r="E14" s="8" t="inlineStr">
        <is>
          <t>USD</t>
        </is>
      </c>
      <c r="F14" s="8" t="inlineStr">
        <is>
          <t>SELL</t>
        </is>
      </c>
      <c r="G14" s="8" t="n">
        <v>1</v>
      </c>
      <c r="H14" s="9" t="n">
        <v>72.3</v>
      </c>
      <c r="I14" s="10" t="n">
        <v>0.34944525</v>
      </c>
      <c r="J14" s="10" t="n">
        <v>72.3</v>
      </c>
      <c r="K14" s="10" t="n">
        <v>14.016404</v>
      </c>
      <c r="L14" s="8" t="inlineStr">
        <is>
          <t>NYSE</t>
        </is>
      </c>
      <c r="M14" s="8" t="inlineStr">
        <is>
          <t>LIMIT</t>
        </is>
      </c>
    </row>
    <row r="15">
      <c r="A15" s="11" t="inlineStr">
        <is>
          <t>2025-07-24</t>
        </is>
      </c>
      <c r="B15" s="11" t="inlineStr">
        <is>
          <t>OKLO</t>
        </is>
      </c>
      <c r="C15" s="11" t="inlineStr">
        <is>
          <t>OKLO INC</t>
        </is>
      </c>
      <c r="D15" s="11" t="inlineStr">
        <is>
          <t>STK</t>
        </is>
      </c>
      <c r="E15" s="11" t="inlineStr">
        <is>
          <t>USD</t>
        </is>
      </c>
      <c r="F15" s="11" t="inlineStr">
        <is>
          <t>SELL</t>
        </is>
      </c>
      <c r="G15" s="11" t="n">
        <v>1</v>
      </c>
      <c r="H15" s="12" t="n">
        <v>74.185</v>
      </c>
      <c r="I15" s="13" t="n">
        <v>0.35065025</v>
      </c>
      <c r="J15" s="13" t="n">
        <v>74.185</v>
      </c>
      <c r="K15" s="13" t="n">
        <v>15.900199</v>
      </c>
      <c r="L15" s="11" t="inlineStr">
        <is>
          <t>DARK</t>
        </is>
      </c>
      <c r="M15" s="11" t="inlineStr">
        <is>
          <t>LIMIT</t>
        </is>
      </c>
    </row>
    <row r="16">
      <c r="A16" s="8" t="inlineStr">
        <is>
          <t>2025-07-25</t>
        </is>
      </c>
      <c r="B16" s="8" t="inlineStr">
        <is>
          <t>SIL</t>
        </is>
      </c>
      <c r="C16" s="8" t="inlineStr">
        <is>
          <t>GLOBAL X SILVER MINERS ETF</t>
        </is>
      </c>
      <c r="D16" s="8" t="inlineStr">
        <is>
          <t>STK</t>
        </is>
      </c>
      <c r="E16" s="8" t="inlineStr">
        <is>
          <t>USD</t>
        </is>
      </c>
      <c r="F16" s="8" t="inlineStr">
        <is>
          <t>BUY</t>
        </is>
      </c>
      <c r="G16" s="8" t="n">
        <v>2</v>
      </c>
      <c r="H16" s="9" t="n">
        <v>49.98</v>
      </c>
      <c r="I16" s="10" t="n">
        <v>0.35071125</v>
      </c>
      <c r="J16" s="10" t="n">
        <v>99.95999999999999</v>
      </c>
      <c r="K16" s="10" t="n">
        <v>0</v>
      </c>
      <c r="L16" s="8" t="inlineStr">
        <is>
          <t>DARK</t>
        </is>
      </c>
      <c r="M16" s="8" t="inlineStr">
        <is>
          <t>MARKET</t>
        </is>
      </c>
    </row>
    <row r="17">
      <c r="A17" s="11" t="inlineStr">
        <is>
          <t>2025-07-28</t>
        </is>
      </c>
      <c r="B17" s="11" t="inlineStr">
        <is>
          <t>GDX</t>
        </is>
      </c>
      <c r="C17" s="11" t="inlineStr">
        <is>
          <t>VANECK GOLD MINERS ETF</t>
        </is>
      </c>
      <c r="D17" s="11" t="inlineStr">
        <is>
          <t>STK</t>
        </is>
      </c>
      <c r="E17" s="11" t="inlineStr">
        <is>
          <t>USD</t>
        </is>
      </c>
      <c r="F17" s="11" t="inlineStr">
        <is>
          <t>BUY</t>
        </is>
      </c>
      <c r="G17" s="11" t="n">
        <v>4</v>
      </c>
      <c r="H17" s="12" t="n">
        <v>52.38</v>
      </c>
      <c r="I17" s="13" t="n">
        <v>0.34474525</v>
      </c>
      <c r="J17" s="13" t="n">
        <v>209.52</v>
      </c>
      <c r="K17" s="13" t="n">
        <v>0</v>
      </c>
      <c r="L17" s="11" t="inlineStr">
        <is>
          <t>ARCA</t>
        </is>
      </c>
      <c r="M17" s="11" t="inlineStr">
        <is>
          <t>LIMIT</t>
        </is>
      </c>
    </row>
    <row r="18">
      <c r="A18" s="8" t="inlineStr">
        <is>
          <t>2025-07-29</t>
        </is>
      </c>
      <c r="B18" s="8" t="inlineStr">
        <is>
          <t>MSFT</t>
        </is>
      </c>
      <c r="C18" s="8" t="inlineStr">
        <is>
          <t>MICROSOFT CORP</t>
        </is>
      </c>
      <c r="D18" s="8" t="inlineStr">
        <is>
          <t>STK</t>
        </is>
      </c>
      <c r="E18" s="8" t="inlineStr">
        <is>
          <t>USD</t>
        </is>
      </c>
      <c r="F18" s="8" t="inlineStr">
        <is>
          <t>SELL</t>
        </is>
      </c>
      <c r="G18" s="8" t="n">
        <v>0.5</v>
      </c>
      <c r="H18" s="9" t="n">
        <v>514.26</v>
      </c>
      <c r="I18" s="10" t="n">
        <v>0.35045375</v>
      </c>
      <c r="J18" s="10" t="n">
        <v>257.13</v>
      </c>
      <c r="K18" s="10" t="n">
        <v>68.979523</v>
      </c>
      <c r="L18" s="8" t="inlineStr">
        <is>
          <t>IBKR</t>
        </is>
      </c>
      <c r="M18" s="8" t="inlineStr">
        <is>
          <t>LIMIT</t>
        </is>
      </c>
    </row>
    <row r="19">
      <c r="A19" s="11" t="inlineStr">
        <is>
          <t>2025-07-29</t>
        </is>
      </c>
      <c r="B19" s="11" t="inlineStr">
        <is>
          <t>ASTS</t>
        </is>
      </c>
      <c r="C19" s="11" t="inlineStr">
        <is>
          <t>AST SPACEMOBILE INC</t>
        </is>
      </c>
      <c r="D19" s="11" t="inlineStr">
        <is>
          <t>STK</t>
        </is>
      </c>
      <c r="E19" s="11" t="inlineStr">
        <is>
          <t>USD</t>
        </is>
      </c>
      <c r="F19" s="11" t="inlineStr">
        <is>
          <t>BUY</t>
        </is>
      </c>
      <c r="G19" s="11" t="n">
        <v>2</v>
      </c>
      <c r="H19" s="12" t="n">
        <v>52.65</v>
      </c>
      <c r="I19" s="13" t="n">
        <v>0.34810125</v>
      </c>
      <c r="J19" s="13" t="n">
        <v>105.3</v>
      </c>
      <c r="K19" s="13" t="n">
        <v>0</v>
      </c>
      <c r="L19" s="11" t="inlineStr">
        <is>
          <t>ISLAND</t>
        </is>
      </c>
      <c r="M19" s="11" t="inlineStr">
        <is>
          <t>LIMIT</t>
        </is>
      </c>
    </row>
    <row r="20">
      <c r="A20" s="8" t="inlineStr">
        <is>
          <t>2025-07-30</t>
        </is>
      </c>
      <c r="B20" s="8" t="inlineStr">
        <is>
          <t>SIL</t>
        </is>
      </c>
      <c r="C20" s="8" t="inlineStr">
        <is>
          <t>GLOBAL X SILVER MINERS ETF</t>
        </is>
      </c>
      <c r="D20" s="8" t="inlineStr">
        <is>
          <t>STK</t>
        </is>
      </c>
      <c r="E20" s="8" t="inlineStr">
        <is>
          <t>USD</t>
        </is>
      </c>
      <c r="F20" s="8" t="inlineStr">
        <is>
          <t>BUY</t>
        </is>
      </c>
      <c r="G20" s="8" t="n">
        <v>2</v>
      </c>
      <c r="H20" s="9" t="n">
        <v>48.91</v>
      </c>
      <c r="I20" s="10" t="n">
        <v>0.34750125</v>
      </c>
      <c r="J20" s="10" t="n">
        <v>97.81999999999999</v>
      </c>
      <c r="K20" s="10" t="n">
        <v>0</v>
      </c>
      <c r="L20" s="8" t="inlineStr">
        <is>
          <t>ARCA</t>
        </is>
      </c>
      <c r="M20" s="8" t="inlineStr">
        <is>
          <t>LIMIT</t>
        </is>
      </c>
    </row>
    <row r="21">
      <c r="A21" s="11" t="inlineStr">
        <is>
          <t>2025-08-04</t>
        </is>
      </c>
      <c r="B21" s="11" t="inlineStr">
        <is>
          <t>SIL</t>
        </is>
      </c>
      <c r="C21" s="11" t="inlineStr">
        <is>
          <t>GLOBAL X SILVER MINERS ETF</t>
        </is>
      </c>
      <c r="D21" s="11" t="inlineStr">
        <is>
          <t>STK</t>
        </is>
      </c>
      <c r="E21" s="11" t="inlineStr">
        <is>
          <t>USD</t>
        </is>
      </c>
      <c r="F21" s="11" t="inlineStr">
        <is>
          <t>BUY</t>
        </is>
      </c>
      <c r="G21" s="11" t="n">
        <v>3</v>
      </c>
      <c r="H21" s="12" t="n">
        <v>48.745</v>
      </c>
      <c r="I21" s="13" t="n">
        <v>0.35093825</v>
      </c>
      <c r="J21" s="13" t="n">
        <v>146.235</v>
      </c>
      <c r="K21" s="13" t="n">
        <v>0</v>
      </c>
      <c r="L21" s="11" t="inlineStr">
        <is>
          <t>DARK</t>
        </is>
      </c>
      <c r="M21" s="11" t="inlineStr">
        <is>
          <t>LIMIT</t>
        </is>
      </c>
    </row>
    <row r="22">
      <c r="A22" s="8" t="inlineStr">
        <is>
          <t>2025-08-04</t>
        </is>
      </c>
      <c r="B22" s="8" t="inlineStr">
        <is>
          <t>COPX</t>
        </is>
      </c>
      <c r="C22" s="8" t="inlineStr">
        <is>
          <t>GLOBAL X COPPER MINERS ETF</t>
        </is>
      </c>
      <c r="D22" s="8" t="inlineStr">
        <is>
          <t>STK</t>
        </is>
      </c>
      <c r="E22" s="8" t="inlineStr">
        <is>
          <t>USD</t>
        </is>
      </c>
      <c r="F22" s="8" t="inlineStr">
        <is>
          <t>SELL</t>
        </is>
      </c>
      <c r="G22" s="8" t="n">
        <v>5</v>
      </c>
      <c r="H22" s="9" t="n">
        <v>43.33</v>
      </c>
      <c r="I22" s="10" t="n">
        <v>0.35222225</v>
      </c>
      <c r="J22" s="10" t="n">
        <v>216.65</v>
      </c>
      <c r="K22" s="10" t="n">
        <v>1.296419</v>
      </c>
      <c r="L22" s="8" t="inlineStr">
        <is>
          <t>DARK</t>
        </is>
      </c>
      <c r="M22" s="8" t="inlineStr">
        <is>
          <t>LIMIT</t>
        </is>
      </c>
    </row>
    <row r="23">
      <c r="A23" s="11" t="inlineStr">
        <is>
          <t>2025-08-04</t>
        </is>
      </c>
      <c r="B23" s="11" t="inlineStr">
        <is>
          <t>GDX</t>
        </is>
      </c>
      <c r="C23" s="11" t="inlineStr">
        <is>
          <t>VANECK GOLD MINERS ETF</t>
        </is>
      </c>
      <c r="D23" s="11" t="inlineStr">
        <is>
          <t>STK</t>
        </is>
      </c>
      <c r="E23" s="11" t="inlineStr">
        <is>
          <t>USD</t>
        </is>
      </c>
      <c r="F23" s="11" t="inlineStr">
        <is>
          <t>BUY</t>
        </is>
      </c>
      <c r="G23" s="11" t="n">
        <v>4</v>
      </c>
      <c r="H23" s="12" t="n">
        <v>54.585</v>
      </c>
      <c r="I23" s="13" t="n">
        <v>0.35116525</v>
      </c>
      <c r="J23" s="13" t="n">
        <v>218.34</v>
      </c>
      <c r="K23" s="13" t="n">
        <v>0</v>
      </c>
      <c r="L23" s="11" t="inlineStr">
        <is>
          <t>DARK</t>
        </is>
      </c>
      <c r="M23" s="11" t="inlineStr">
        <is>
          <t>LIMIT</t>
        </is>
      </c>
    </row>
    <row r="24">
      <c r="A24" s="8" t="inlineStr">
        <is>
          <t>2025-08-08</t>
        </is>
      </c>
      <c r="B24" s="8" t="inlineStr">
        <is>
          <t>ASTS</t>
        </is>
      </c>
      <c r="C24" s="8" t="inlineStr">
        <is>
          <t>AST SPACEMOBILE INC</t>
        </is>
      </c>
      <c r="D24" s="8" t="inlineStr">
        <is>
          <t>STK</t>
        </is>
      </c>
      <c r="E24" s="8" t="inlineStr">
        <is>
          <t>USD</t>
        </is>
      </c>
      <c r="F24" s="8" t="inlineStr">
        <is>
          <t>SELL</t>
        </is>
      </c>
      <c r="G24" s="8" t="n">
        <v>2</v>
      </c>
      <c r="H24" s="9" t="n">
        <v>47.04</v>
      </c>
      <c r="I24" s="10" t="n">
        <v>0.34843325</v>
      </c>
      <c r="J24" s="10" t="n">
        <v>94.08</v>
      </c>
      <c r="K24" s="10" t="n">
        <v>-11.916534</v>
      </c>
      <c r="L24" s="8" t="inlineStr">
        <is>
          <t>NASDAQ</t>
        </is>
      </c>
      <c r="M24" s="8" t="inlineStr">
        <is>
          <t>LIMIT</t>
        </is>
      </c>
    </row>
    <row r="25">
      <c r="A25" s="11" t="inlineStr">
        <is>
          <t>2025-08-19</t>
        </is>
      </c>
      <c r="B25" s="11" t="inlineStr">
        <is>
          <t>AEHR</t>
        </is>
      </c>
      <c r="C25" s="11" t="inlineStr">
        <is>
          <t>AEHR TEST SYSTEMS</t>
        </is>
      </c>
      <c r="D25" s="11" t="inlineStr">
        <is>
          <t>STK</t>
        </is>
      </c>
      <c r="E25" s="11" t="inlineStr">
        <is>
          <t>USD</t>
        </is>
      </c>
      <c r="F25" s="11" t="inlineStr">
        <is>
          <t>BUY</t>
        </is>
      </c>
      <c r="G25" s="11" t="n">
        <v>3</v>
      </c>
      <c r="H25" s="12" t="n">
        <v>17.49</v>
      </c>
      <c r="I25" s="13" t="n">
        <v>0.35093825</v>
      </c>
      <c r="J25" s="13" t="n">
        <v>52.47</v>
      </c>
      <c r="K25" s="13" t="n">
        <v>0</v>
      </c>
      <c r="L25" s="11" t="inlineStr">
        <is>
          <t>IBKRATS</t>
        </is>
      </c>
      <c r="M25" s="11" t="inlineStr">
        <is>
          <t>LIMIT</t>
        </is>
      </c>
    </row>
    <row r="26">
      <c r="A26" s="8" t="inlineStr">
        <is>
          <t>2025-08-25</t>
        </is>
      </c>
      <c r="B26" s="8" t="inlineStr">
        <is>
          <t>AEHR</t>
        </is>
      </c>
      <c r="C26" s="8" t="inlineStr">
        <is>
          <t>AEHR TEST SYSTEMS</t>
        </is>
      </c>
      <c r="D26" s="8" t="inlineStr">
        <is>
          <t>STK</t>
        </is>
      </c>
      <c r="E26" s="8" t="inlineStr">
        <is>
          <t>USD</t>
        </is>
      </c>
      <c r="F26" s="8" t="inlineStr">
        <is>
          <t>SELL</t>
        </is>
      </c>
      <c r="G26" s="8" t="n">
        <v>3</v>
      </c>
      <c r="H26" s="9" t="n">
        <v>25.11</v>
      </c>
      <c r="I26" s="10" t="n">
        <v>0.34752125</v>
      </c>
      <c r="J26" s="10" t="n">
        <v>75.33</v>
      </c>
      <c r="K26" s="10" t="n">
        <v>22.161541</v>
      </c>
      <c r="L26" s="8" t="inlineStr">
        <is>
          <t>NASDAQ</t>
        </is>
      </c>
      <c r="M26" s="8" t="inlineStr">
        <is>
          <t>LIMIT</t>
        </is>
      </c>
    </row>
    <row r="27">
      <c r="A27" s="11" t="inlineStr">
        <is>
          <t>2025-08-26</t>
        </is>
      </c>
      <c r="B27" s="11" t="inlineStr">
        <is>
          <t>OXY</t>
        </is>
      </c>
      <c r="C27" s="11" t="inlineStr">
        <is>
          <t>OCCIDENTAL PETROLEUM CORP</t>
        </is>
      </c>
      <c r="D27" s="11" t="inlineStr">
        <is>
          <t>STK</t>
        </is>
      </c>
      <c r="E27" s="11" t="inlineStr">
        <is>
          <t>USD</t>
        </is>
      </c>
      <c r="F27" s="11" t="inlineStr">
        <is>
          <t>BUY</t>
        </is>
      </c>
      <c r="G27" s="11" t="n">
        <v>2</v>
      </c>
      <c r="H27" s="12" t="n">
        <v>45.825</v>
      </c>
      <c r="I27" s="13" t="n">
        <v>0.35071125</v>
      </c>
      <c r="J27" s="13" t="n">
        <v>91.65000000000001</v>
      </c>
      <c r="K27" s="13" t="n">
        <v>0</v>
      </c>
      <c r="L27" s="11" t="inlineStr">
        <is>
          <t>IBKRATS</t>
        </is>
      </c>
      <c r="M27" s="11" t="inlineStr">
        <is>
          <t>LIMIT</t>
        </is>
      </c>
    </row>
    <row r="28">
      <c r="A28" s="8" t="inlineStr">
        <is>
          <t>2025-09-02</t>
        </is>
      </c>
      <c r="B28" s="8" t="inlineStr">
        <is>
          <t>BIDU</t>
        </is>
      </c>
      <c r="C28" s="8" t="inlineStr">
        <is>
          <t>BAIDU INC - SPON ADR</t>
        </is>
      </c>
      <c r="D28" s="8" t="inlineStr">
        <is>
          <t>STK</t>
        </is>
      </c>
      <c r="E28" s="8" t="inlineStr">
        <is>
          <t>USD</t>
        </is>
      </c>
      <c r="F28" s="8" t="inlineStr">
        <is>
          <t>SELL</t>
        </is>
      </c>
      <c r="G28" s="8" t="n">
        <v>2</v>
      </c>
      <c r="H28" s="9" t="n">
        <v>95.2812</v>
      </c>
      <c r="I28" s="10" t="n">
        <v>0.35104325</v>
      </c>
      <c r="J28" s="10" t="n">
        <v>190.5624</v>
      </c>
      <c r="K28" s="10" t="n">
        <v>4.583256</v>
      </c>
      <c r="L28" s="8" t="inlineStr">
        <is>
          <t>DARK</t>
        </is>
      </c>
      <c r="M28" s="8" t="inlineStr">
        <is>
          <t>LIMIT</t>
        </is>
      </c>
    </row>
    <row r="29">
      <c r="A29" s="11" t="inlineStr">
        <is>
          <t>2025-09-03</t>
        </is>
      </c>
      <c r="B29" s="11" t="inlineStr">
        <is>
          <t>IREN</t>
        </is>
      </c>
      <c r="C29" s="11" t="inlineStr">
        <is>
          <t>IREN LTD</t>
        </is>
      </c>
      <c r="D29" s="11" t="inlineStr">
        <is>
          <t>STK</t>
        </is>
      </c>
      <c r="E29" s="11" t="inlineStr">
        <is>
          <t>USD</t>
        </is>
      </c>
      <c r="F29" s="11" t="inlineStr">
        <is>
          <t>SELL</t>
        </is>
      </c>
      <c r="G29" s="11" t="n">
        <v>7</v>
      </c>
      <c r="H29" s="12" t="n">
        <v>29.02</v>
      </c>
      <c r="I29" s="13" t="n">
        <v>0.35300825</v>
      </c>
      <c r="J29" s="13" t="n">
        <v>203.14</v>
      </c>
      <c r="K29" s="13" t="n">
        <v>73.361446</v>
      </c>
      <c r="L29" s="11" t="inlineStr">
        <is>
          <t>IBKRATS</t>
        </is>
      </c>
      <c r="M29" s="11" t="inlineStr">
        <is>
          <t>LIMIT</t>
        </is>
      </c>
    </row>
    <row r="30">
      <c r="A30" s="8" t="inlineStr">
        <is>
          <t>2025-09-03</t>
        </is>
      </c>
      <c r="B30" s="8" t="inlineStr">
        <is>
          <t>MRVL</t>
        </is>
      </c>
      <c r="C30" s="8" t="inlineStr">
        <is>
          <t>MARVELL TECHNOLOGY INC</t>
        </is>
      </c>
      <c r="D30" s="8" t="inlineStr">
        <is>
          <t>STK</t>
        </is>
      </c>
      <c r="E30" s="8" t="inlineStr">
        <is>
          <t>USD</t>
        </is>
      </c>
      <c r="F30" s="8" t="inlineStr">
        <is>
          <t>BUY</t>
        </is>
      </c>
      <c r="G30" s="8" t="n">
        <v>2</v>
      </c>
      <c r="H30" s="9" t="n">
        <v>62.21</v>
      </c>
      <c r="I30" s="10" t="n">
        <v>0.34810125</v>
      </c>
      <c r="J30" s="10" t="n">
        <v>124.42</v>
      </c>
      <c r="K30" s="10" t="n">
        <v>0</v>
      </c>
      <c r="L30" s="8" t="inlineStr">
        <is>
          <t>NASDAQ</t>
        </is>
      </c>
      <c r="M30" s="8" t="inlineStr">
        <is>
          <t>LIMIT</t>
        </is>
      </c>
    </row>
    <row r="31">
      <c r="A31" s="11" t="inlineStr">
        <is>
          <t>2025-09-03</t>
        </is>
      </c>
      <c r="B31" s="11" t="inlineStr">
        <is>
          <t>CRM</t>
        </is>
      </c>
      <c r="C31" s="11" t="inlineStr">
        <is>
          <t>SALESFORCE INC</t>
        </is>
      </c>
      <c r="D31" s="11" t="inlineStr">
        <is>
          <t>STK</t>
        </is>
      </c>
      <c r="E31" s="11" t="inlineStr">
        <is>
          <t>USD</t>
        </is>
      </c>
      <c r="F31" s="11" t="inlineStr">
        <is>
          <t>BUY</t>
        </is>
      </c>
      <c r="G31" s="11" t="n">
        <v>1</v>
      </c>
      <c r="H31" s="12" t="n">
        <v>255.4372</v>
      </c>
      <c r="I31" s="13" t="n">
        <v>0.35048425</v>
      </c>
      <c r="J31" s="13" t="n">
        <v>255.4372</v>
      </c>
      <c r="K31" s="13" t="n">
        <v>0</v>
      </c>
      <c r="L31" s="11" t="inlineStr">
        <is>
          <t>DARK</t>
        </is>
      </c>
      <c r="M31" s="11" t="inlineStr">
        <is>
          <t>MARKET</t>
        </is>
      </c>
    </row>
    <row r="32">
      <c r="A32" s="8" t="inlineStr">
        <is>
          <t>2025-09-04</t>
        </is>
      </c>
      <c r="B32" s="8" t="inlineStr">
        <is>
          <t>PPLT</t>
        </is>
      </c>
      <c r="C32" s="8" t="inlineStr">
        <is>
          <t>ABRDN PHYSICAL PLATINUM SHRS</t>
        </is>
      </c>
      <c r="D32" s="8" t="inlineStr">
        <is>
          <t>STK</t>
        </is>
      </c>
      <c r="E32" s="8" t="inlineStr">
        <is>
          <t>USD</t>
        </is>
      </c>
      <c r="F32" s="8" t="inlineStr">
        <is>
          <t>BUY</t>
        </is>
      </c>
      <c r="G32" s="8" t="n">
        <v>2</v>
      </c>
      <c r="H32" s="9" t="n">
        <v>125.35</v>
      </c>
      <c r="I32" s="10" t="n">
        <v>0.34750125</v>
      </c>
      <c r="J32" s="10" t="n">
        <v>250.7</v>
      </c>
      <c r="K32" s="10" t="n">
        <v>0</v>
      </c>
      <c r="L32" s="8" t="inlineStr">
        <is>
          <t>ARCA</t>
        </is>
      </c>
      <c r="M32" s="8" t="inlineStr">
        <is>
          <t>LIMIT</t>
        </is>
      </c>
    </row>
    <row r="33">
      <c r="A33" s="11" t="inlineStr">
        <is>
          <t>2025-09-08</t>
        </is>
      </c>
      <c r="B33" s="11" t="inlineStr">
        <is>
          <t>ARGT</t>
        </is>
      </c>
      <c r="C33" s="11" t="inlineStr">
        <is>
          <t>GLOBAL X MSCI ARGENTINA ETF</t>
        </is>
      </c>
      <c r="D33" s="11" t="inlineStr">
        <is>
          <t>STK</t>
        </is>
      </c>
      <c r="E33" s="11" t="inlineStr">
        <is>
          <t>USD</t>
        </is>
      </c>
      <c r="F33" s="11" t="inlineStr">
        <is>
          <t>SELL</t>
        </is>
      </c>
      <c r="G33" s="11" t="n">
        <v>5</v>
      </c>
      <c r="H33" s="12" t="n">
        <v>72.37</v>
      </c>
      <c r="I33" s="13" t="n">
        <v>0.34419725</v>
      </c>
      <c r="J33" s="13" t="n">
        <v>361.85</v>
      </c>
      <c r="K33" s="13" t="n">
        <v>-41.615846</v>
      </c>
      <c r="L33" s="11" t="inlineStr">
        <is>
          <t>ARCA</t>
        </is>
      </c>
      <c r="M33" s="11" t="inlineStr">
        <is>
          <t>LIMIT</t>
        </is>
      </c>
    </row>
    <row r="34">
      <c r="A34" s="8" t="inlineStr">
        <is>
          <t>2025-09-08</t>
        </is>
      </c>
      <c r="B34" s="8" t="inlineStr">
        <is>
          <t>OXY</t>
        </is>
      </c>
      <c r="C34" s="8" t="inlineStr">
        <is>
          <t>OCCIDENTAL PETROLEUM CORP</t>
        </is>
      </c>
      <c r="D34" s="8" t="inlineStr">
        <is>
          <t>STK</t>
        </is>
      </c>
      <c r="E34" s="8" t="inlineStr">
        <is>
          <t>USD</t>
        </is>
      </c>
      <c r="F34" s="8" t="inlineStr">
        <is>
          <t>SELL</t>
        </is>
      </c>
      <c r="G34" s="8" t="n">
        <v>2</v>
      </c>
      <c r="H34" s="9" t="n">
        <v>45.745</v>
      </c>
      <c r="I34" s="10" t="n">
        <v>0.35104325</v>
      </c>
      <c r="J34" s="10" t="n">
        <v>91.48999999999999</v>
      </c>
      <c r="K34" s="10" t="n">
        <v>-0.861754</v>
      </c>
      <c r="L34" s="8" t="inlineStr">
        <is>
          <t>DARK</t>
        </is>
      </c>
      <c r="M34" s="8" t="inlineStr">
        <is>
          <t>LIMIT</t>
        </is>
      </c>
    </row>
    <row r="35">
      <c r="A35" s="11" t="inlineStr">
        <is>
          <t>2025-09-08</t>
        </is>
      </c>
      <c r="B35" s="11" t="inlineStr">
        <is>
          <t>IWM</t>
        </is>
      </c>
      <c r="C35" s="11" t="inlineStr">
        <is>
          <t>ISHARES RUSSELL 2000 ETF</t>
        </is>
      </c>
      <c r="D35" s="11" t="inlineStr">
        <is>
          <t>STK</t>
        </is>
      </c>
      <c r="E35" s="11" t="inlineStr">
        <is>
          <t>USD</t>
        </is>
      </c>
      <c r="F35" s="11" t="inlineStr">
        <is>
          <t>BUY</t>
        </is>
      </c>
      <c r="G35" s="11" t="n">
        <v>2</v>
      </c>
      <c r="H35" s="12" t="n">
        <v>237.075</v>
      </c>
      <c r="I35" s="13" t="n">
        <v>0.35071125</v>
      </c>
      <c r="J35" s="13" t="n">
        <v>474.15</v>
      </c>
      <c r="K35" s="13" t="n">
        <v>0</v>
      </c>
      <c r="L35" s="11" t="inlineStr">
        <is>
          <t>DARK</t>
        </is>
      </c>
      <c r="M35" s="11" t="inlineStr">
        <is>
          <t>LIMIT</t>
        </is>
      </c>
    </row>
    <row r="36">
      <c r="A36" s="8" t="inlineStr">
        <is>
          <t>2025-09-09</t>
        </is>
      </c>
      <c r="B36" s="8" t="inlineStr">
        <is>
          <t>MRVL</t>
        </is>
      </c>
      <c r="C36" s="8" t="inlineStr">
        <is>
          <t>MARVELL TECHNOLOGY INC</t>
        </is>
      </c>
      <c r="D36" s="8" t="inlineStr">
        <is>
          <t>STK</t>
        </is>
      </c>
      <c r="E36" s="8" t="inlineStr">
        <is>
          <t>USD</t>
        </is>
      </c>
      <c r="F36" s="8" t="inlineStr">
        <is>
          <t>BUY</t>
        </is>
      </c>
      <c r="G36" s="8" t="n">
        <v>2</v>
      </c>
      <c r="H36" s="9" t="n">
        <v>67.16</v>
      </c>
      <c r="I36" s="10" t="n">
        <v>0.35071125</v>
      </c>
      <c r="J36" s="10" t="n">
        <v>134.32</v>
      </c>
      <c r="K36" s="10" t="n">
        <v>0</v>
      </c>
      <c r="L36" s="8" t="inlineStr">
        <is>
          <t>DARK</t>
        </is>
      </c>
      <c r="M36" s="8" t="inlineStr">
        <is>
          <t>LIMIT</t>
        </is>
      </c>
    </row>
    <row r="37">
      <c r="A37" s="11" t="inlineStr">
        <is>
          <t>2025-09-09</t>
        </is>
      </c>
      <c r="B37" s="11" t="inlineStr">
        <is>
          <t>SLV</t>
        </is>
      </c>
      <c r="C37" s="11" t="inlineStr">
        <is>
          <t>ISHARES SILVER TRUST</t>
        </is>
      </c>
      <c r="D37" s="11" t="inlineStr">
        <is>
          <t>STK</t>
        </is>
      </c>
      <c r="E37" s="11" t="inlineStr">
        <is>
          <t>USD</t>
        </is>
      </c>
      <c r="F37" s="11" t="inlineStr">
        <is>
          <t>BUY</t>
        </is>
      </c>
      <c r="G37" s="11" t="n">
        <v>6</v>
      </c>
      <c r="H37" s="12" t="n">
        <v>37.18</v>
      </c>
      <c r="I37" s="13" t="n">
        <v>0.35161925</v>
      </c>
      <c r="J37" s="13" t="n">
        <v>223.08</v>
      </c>
      <c r="K37" s="13" t="n">
        <v>0</v>
      </c>
      <c r="L37" s="11" t="inlineStr">
        <is>
          <t>IBKRATS</t>
        </is>
      </c>
      <c r="M37" s="11" t="inlineStr">
        <is>
          <t>LIMIT</t>
        </is>
      </c>
    </row>
    <row r="38">
      <c r="A38" s="8" t="inlineStr">
        <is>
          <t>2025-09-12</t>
        </is>
      </c>
      <c r="B38" s="8" t="inlineStr">
        <is>
          <t>PALL</t>
        </is>
      </c>
      <c r="C38" s="8" t="inlineStr">
        <is>
          <t>ABRDN PHYSICAL PALLADIUM SHS</t>
        </is>
      </c>
      <c r="D38" s="8" t="inlineStr">
        <is>
          <t>STK</t>
        </is>
      </c>
      <c r="E38" s="8" t="inlineStr">
        <is>
          <t>USD</t>
        </is>
      </c>
      <c r="F38" s="8" t="inlineStr">
        <is>
          <t>BUY</t>
        </is>
      </c>
      <c r="G38" s="8" t="n">
        <v>3</v>
      </c>
      <c r="H38" s="9" t="n">
        <v>110.605</v>
      </c>
      <c r="I38" s="10" t="n">
        <v>0.35092325</v>
      </c>
      <c r="J38" s="10" t="n">
        <v>331.815</v>
      </c>
      <c r="K38" s="10" t="n">
        <v>0</v>
      </c>
      <c r="L38" s="8" t="inlineStr">
        <is>
          <t>DARK</t>
        </is>
      </c>
      <c r="M38" s="8" t="inlineStr">
        <is>
          <t>LIMIT</t>
        </is>
      </c>
    </row>
    <row r="39">
      <c r="A39" s="11" t="inlineStr">
        <is>
          <t>2025-09-15</t>
        </is>
      </c>
      <c r="B39" s="11" t="inlineStr">
        <is>
          <t>PPLT</t>
        </is>
      </c>
      <c r="C39" s="11" t="inlineStr">
        <is>
          <t>ABRDN PHYSICAL PLATINUM SHRS</t>
        </is>
      </c>
      <c r="D39" s="11" t="inlineStr">
        <is>
          <t>STK</t>
        </is>
      </c>
      <c r="E39" s="11" t="inlineStr">
        <is>
          <t>USD</t>
        </is>
      </c>
      <c r="F39" s="11" t="inlineStr">
        <is>
          <t>BUY</t>
        </is>
      </c>
      <c r="G39" s="11" t="n">
        <v>1</v>
      </c>
      <c r="H39" s="12" t="n">
        <v>127.94</v>
      </c>
      <c r="I39" s="13" t="n">
        <v>0.34887925</v>
      </c>
      <c r="J39" s="13" t="n">
        <v>127.94</v>
      </c>
      <c r="K39" s="13" t="n">
        <v>0</v>
      </c>
      <c r="L39" s="11" t="inlineStr">
        <is>
          <t>ARCA</t>
        </is>
      </c>
      <c r="M39" s="11" t="inlineStr">
        <is>
          <t>LIMIT</t>
        </is>
      </c>
    </row>
    <row r="40">
      <c r="A40" s="8" t="inlineStr">
        <is>
          <t>2025-09-18</t>
        </is>
      </c>
      <c r="B40" s="8" t="inlineStr">
        <is>
          <t>CRM</t>
        </is>
      </c>
      <c r="C40" s="8" t="inlineStr">
        <is>
          <t>SALESFORCE INC</t>
        </is>
      </c>
      <c r="D40" s="8" t="inlineStr">
        <is>
          <t>STK</t>
        </is>
      </c>
      <c r="E40" s="8" t="inlineStr">
        <is>
          <t>USD</t>
        </is>
      </c>
      <c r="F40" s="8" t="inlineStr">
        <is>
          <t>SELL</t>
        </is>
      </c>
      <c r="G40" s="8" t="n">
        <v>1</v>
      </c>
      <c r="H40" s="9" t="n">
        <v>246.21</v>
      </c>
      <c r="I40" s="10" t="n">
        <v>0.35064525</v>
      </c>
      <c r="J40" s="10" t="n">
        <v>246.21</v>
      </c>
      <c r="K40" s="10" t="n">
        <v>-9.928329</v>
      </c>
      <c r="L40" s="8" t="inlineStr">
        <is>
          <t>IBKRATS</t>
        </is>
      </c>
      <c r="M40" s="8" t="inlineStr">
        <is>
          <t>LIMIT</t>
        </is>
      </c>
    </row>
    <row r="41">
      <c r="A41" s="11" t="inlineStr">
        <is>
          <t>2025-09-18</t>
        </is>
      </c>
      <c r="B41" s="11" t="inlineStr">
        <is>
          <t>ARKK</t>
        </is>
      </c>
      <c r="C41" s="11" t="inlineStr">
        <is>
          <t>ARK INNOVATION ETF</t>
        </is>
      </c>
      <c r="D41" s="11" t="inlineStr">
        <is>
          <t>STK</t>
        </is>
      </c>
      <c r="E41" s="11" t="inlineStr">
        <is>
          <t>USD</t>
        </is>
      </c>
      <c r="F41" s="11" t="inlineStr">
        <is>
          <t>BUY</t>
        </is>
      </c>
      <c r="G41" s="11" t="n">
        <v>3</v>
      </c>
      <c r="H41" s="12" t="n">
        <v>82.72</v>
      </c>
      <c r="I41" s="13" t="n">
        <v>0.34612325</v>
      </c>
      <c r="J41" s="13" t="n">
        <v>248.16</v>
      </c>
      <c r="K41" s="13" t="n">
        <v>0</v>
      </c>
      <c r="L41" s="11" t="inlineStr">
        <is>
          <t>ARCA</t>
        </is>
      </c>
      <c r="M41" s="11" t="inlineStr">
        <is>
          <t>LIMIT</t>
        </is>
      </c>
    </row>
    <row r="42">
      <c r="A42" s="8" t="inlineStr">
        <is>
          <t>2025-09-22</t>
        </is>
      </c>
      <c r="B42" s="8" t="inlineStr">
        <is>
          <t>AMZN</t>
        </is>
      </c>
      <c r="C42" s="8" t="inlineStr">
        <is>
          <t>AMAZON.COM INC</t>
        </is>
      </c>
      <c r="D42" s="8" t="inlineStr">
        <is>
          <t>STK</t>
        </is>
      </c>
      <c r="E42" s="8" t="inlineStr">
        <is>
          <t>USD</t>
        </is>
      </c>
      <c r="F42" s="8" t="inlineStr">
        <is>
          <t>SELL</t>
        </is>
      </c>
      <c r="G42" s="8" t="n">
        <v>1</v>
      </c>
      <c r="H42" s="9" t="n">
        <v>228.205</v>
      </c>
      <c r="I42" s="10" t="n">
        <v>0.35064525</v>
      </c>
      <c r="J42" s="10" t="n">
        <v>228.205</v>
      </c>
      <c r="K42" s="10" t="n">
        <v>53.685509</v>
      </c>
      <c r="L42" s="8" t="inlineStr">
        <is>
          <t>IBKRATS</t>
        </is>
      </c>
      <c r="M42" s="8" t="inlineStr">
        <is>
          <t>LIMIT</t>
        </is>
      </c>
    </row>
    <row r="43">
      <c r="A43" s="11" t="inlineStr">
        <is>
          <t>2025-09-22</t>
        </is>
      </c>
      <c r="B43" s="11" t="inlineStr">
        <is>
          <t>SOUN</t>
        </is>
      </c>
      <c r="C43" s="11" t="inlineStr">
        <is>
          <t>SOUNDHOUND AI INC-A</t>
        </is>
      </c>
      <c r="D43" s="11" t="inlineStr">
        <is>
          <t>STK</t>
        </is>
      </c>
      <c r="E43" s="11" t="inlineStr">
        <is>
          <t>USD</t>
        </is>
      </c>
      <c r="F43" s="11" t="inlineStr">
        <is>
          <t>BUY</t>
        </is>
      </c>
      <c r="G43" s="11" t="n">
        <v>6</v>
      </c>
      <c r="H43" s="12" t="n">
        <v>17.345</v>
      </c>
      <c r="I43" s="13" t="n">
        <v>0.35158925</v>
      </c>
      <c r="J43" s="13" t="n">
        <v>104.07</v>
      </c>
      <c r="K43" s="13" t="n">
        <v>0</v>
      </c>
      <c r="L43" s="11" t="inlineStr">
        <is>
          <t>IBKRATS</t>
        </is>
      </c>
      <c r="M43" s="11" t="inlineStr">
        <is>
          <t>LIMIT</t>
        </is>
      </c>
    </row>
    <row r="44">
      <c r="A44" s="8" t="inlineStr">
        <is>
          <t>2025-09-22</t>
        </is>
      </c>
      <c r="B44" s="8" t="inlineStr">
        <is>
          <t>CRWV</t>
        </is>
      </c>
      <c r="C44" s="8" t="inlineStr">
        <is>
          <t>COREWEAVE INC-CL A</t>
        </is>
      </c>
      <c r="D44" s="8" t="inlineStr">
        <is>
          <t>STK</t>
        </is>
      </c>
      <c r="E44" s="8" t="inlineStr">
        <is>
          <t>USD</t>
        </is>
      </c>
      <c r="F44" s="8" t="inlineStr">
        <is>
          <t>BUY</t>
        </is>
      </c>
      <c r="G44" s="8" t="n">
        <v>1</v>
      </c>
      <c r="H44" s="9" t="n">
        <v>131.45</v>
      </c>
      <c r="I44" s="10" t="n">
        <v>0.34917925</v>
      </c>
      <c r="J44" s="10" t="n">
        <v>131.45</v>
      </c>
      <c r="K44" s="10" t="n">
        <v>0</v>
      </c>
      <c r="L44" s="8" t="inlineStr">
        <is>
          <t>NASDAQ</t>
        </is>
      </c>
      <c r="M44" s="8" t="inlineStr">
        <is>
          <t>LIMIT</t>
        </is>
      </c>
    </row>
    <row r="45">
      <c r="A45" s="11" t="inlineStr">
        <is>
          <t>2025-09-29</t>
        </is>
      </c>
      <c r="B45" s="11" t="inlineStr">
        <is>
          <t>CLSK</t>
        </is>
      </c>
      <c r="C45" s="11" t="inlineStr">
        <is>
          <t>CLEANSPARK INC</t>
        </is>
      </c>
      <c r="D45" s="11" t="inlineStr">
        <is>
          <t>STK</t>
        </is>
      </c>
      <c r="E45" s="11" t="inlineStr">
        <is>
          <t>USD</t>
        </is>
      </c>
      <c r="F45" s="11" t="inlineStr">
        <is>
          <t>SELL</t>
        </is>
      </c>
      <c r="G45" s="11" t="n">
        <v>6</v>
      </c>
      <c r="H45" s="12" t="n">
        <v>13.55</v>
      </c>
      <c r="I45" s="13" t="n">
        <v>0.34478525</v>
      </c>
      <c r="J45" s="13" t="n">
        <v>81.3</v>
      </c>
      <c r="K45" s="13" t="n">
        <v>-0.628574</v>
      </c>
      <c r="L45" s="11" t="inlineStr">
        <is>
          <t>NASDAQ</t>
        </is>
      </c>
      <c r="M45" s="11" t="inlineStr">
        <is>
          <t>LIMIT</t>
        </is>
      </c>
    </row>
    <row r="46">
      <c r="A46" s="8" t="inlineStr">
        <is>
          <t>2025-09-29</t>
        </is>
      </c>
      <c r="B46" s="8" t="inlineStr">
        <is>
          <t>URNM</t>
        </is>
      </c>
      <c r="C46" s="8" t="inlineStr">
        <is>
          <t>SPROTT URANIUM MINERS ETF</t>
        </is>
      </c>
      <c r="D46" s="8" t="inlineStr">
        <is>
          <t>STK</t>
        </is>
      </c>
      <c r="E46" s="8" t="inlineStr">
        <is>
          <t>USD</t>
        </is>
      </c>
      <c r="F46" s="8" t="inlineStr">
        <is>
          <t>BUY</t>
        </is>
      </c>
      <c r="G46" s="8" t="n">
        <v>0.5</v>
      </c>
      <c r="H46" s="9" t="n">
        <v>60.78</v>
      </c>
      <c r="I46" s="10" t="n">
        <v>0.30423437</v>
      </c>
      <c r="J46" s="10" t="n">
        <v>30.39</v>
      </c>
      <c r="K46" s="10" t="n">
        <v>0</v>
      </c>
      <c r="L46" s="8" t="inlineStr">
        <is>
          <t>IBKR</t>
        </is>
      </c>
      <c r="M46" s="8" t="inlineStr">
        <is>
          <t>LIMIT</t>
        </is>
      </c>
    </row>
    <row r="47">
      <c r="A47" s="11" t="inlineStr">
        <is>
          <t>2025-09-29</t>
        </is>
      </c>
      <c r="B47" s="11" t="inlineStr">
        <is>
          <t>URNM</t>
        </is>
      </c>
      <c r="C47" s="11" t="inlineStr">
        <is>
          <t>SPROTT URANIUM MINERS ETF</t>
        </is>
      </c>
      <c r="D47" s="11" t="inlineStr">
        <is>
          <t>STK</t>
        </is>
      </c>
      <c r="E47" s="11" t="inlineStr">
        <is>
          <t>USD</t>
        </is>
      </c>
      <c r="F47" s="11" t="inlineStr">
        <is>
          <t>BUY</t>
        </is>
      </c>
      <c r="G47" s="11" t="n">
        <v>1</v>
      </c>
      <c r="H47" s="12" t="n">
        <v>60.71</v>
      </c>
      <c r="I47" s="13" t="n">
        <v>0.04635588</v>
      </c>
      <c r="J47" s="13" t="n">
        <v>60.71</v>
      </c>
      <c r="K47" s="13" t="n">
        <v>0</v>
      </c>
      <c r="L47" s="11" t="inlineStr">
        <is>
          <t>DARK</t>
        </is>
      </c>
      <c r="M47" s="11" t="inlineStr">
        <is>
          <t>LIMIT</t>
        </is>
      </c>
    </row>
    <row r="48">
      <c r="A48" s="8" t="inlineStr">
        <is>
          <t>2025-09-30</t>
        </is>
      </c>
      <c r="B48" s="8" t="inlineStr">
        <is>
          <t>SOUN</t>
        </is>
      </c>
      <c r="C48" s="8" t="inlineStr">
        <is>
          <t>SOUNDHOUND AI INC-A</t>
        </is>
      </c>
      <c r="D48" s="8" t="inlineStr">
        <is>
          <t>STK</t>
        </is>
      </c>
      <c r="E48" s="8" t="inlineStr">
        <is>
          <t>USD</t>
        </is>
      </c>
      <c r="F48" s="8" t="inlineStr">
        <is>
          <t>SELL</t>
        </is>
      </c>
      <c r="G48" s="8" t="n">
        <v>6</v>
      </c>
      <c r="H48" s="9" t="n">
        <v>15.71</v>
      </c>
      <c r="I48" s="10" t="n">
        <v>0.35258525</v>
      </c>
      <c r="J48" s="10" t="n">
        <v>94.26000000000001</v>
      </c>
      <c r="K48" s="10" t="n">
        <v>-10.514174</v>
      </c>
      <c r="L48" s="8" t="inlineStr">
        <is>
          <t>IBKRATS</t>
        </is>
      </c>
      <c r="M48" s="8" t="inlineStr">
        <is>
          <t>LIMIT</t>
        </is>
      </c>
    </row>
    <row r="49">
      <c r="A49" s="11" t="inlineStr">
        <is>
          <t>2025-09-30</t>
        </is>
      </c>
      <c r="B49" s="11" t="inlineStr">
        <is>
          <t>CRWV</t>
        </is>
      </c>
      <c r="C49" s="11" t="inlineStr">
        <is>
          <t>COREWEAVE INC-CL A</t>
        </is>
      </c>
      <c r="D49" s="11" t="inlineStr">
        <is>
          <t>STK</t>
        </is>
      </c>
      <c r="E49" s="11" t="inlineStr">
        <is>
          <t>USD</t>
        </is>
      </c>
      <c r="F49" s="11" t="inlineStr">
        <is>
          <t>BUY</t>
        </is>
      </c>
      <c r="G49" s="11" t="n">
        <v>0.7</v>
      </c>
      <c r="H49" s="12" t="n">
        <v>138.42</v>
      </c>
      <c r="I49" s="13" t="n">
        <v>0.35041265</v>
      </c>
      <c r="J49" s="13" t="n">
        <v>96.89400000000001</v>
      </c>
      <c r="K49" s="13" t="n">
        <v>0</v>
      </c>
      <c r="L49" s="11" t="inlineStr">
        <is>
          <t>IBKR</t>
        </is>
      </c>
      <c r="M49" s="11" t="inlineStr">
        <is>
          <t>LIMIT</t>
        </is>
      </c>
    </row>
    <row r="50">
      <c r="A50" s="8" t="inlineStr">
        <is>
          <t>2025-10-02</t>
        </is>
      </c>
      <c r="B50" s="8" t="inlineStr">
        <is>
          <t>IWM</t>
        </is>
      </c>
      <c r="C50" s="8" t="inlineStr">
        <is>
          <t>ISHARES RUSSELL 2000 ETF</t>
        </is>
      </c>
      <c r="D50" s="8" t="inlineStr">
        <is>
          <t>STK</t>
        </is>
      </c>
      <c r="E50" s="8" t="inlineStr">
        <is>
          <t>USD</t>
        </is>
      </c>
      <c r="F50" s="8" t="inlineStr">
        <is>
          <t>SELL</t>
        </is>
      </c>
      <c r="G50" s="8" t="n">
        <v>1</v>
      </c>
      <c r="H50" s="9" t="n">
        <v>243.72</v>
      </c>
      <c r="I50" s="10" t="n">
        <v>0.34904525</v>
      </c>
      <c r="J50" s="10" t="n">
        <v>243.72</v>
      </c>
      <c r="K50" s="10" t="n">
        <v>6.120599</v>
      </c>
      <c r="L50" s="8" t="inlineStr">
        <is>
          <t>ARCA</t>
        </is>
      </c>
      <c r="M50" s="8" t="inlineStr">
        <is>
          <t>LIMIT</t>
        </is>
      </c>
    </row>
    <row r="51">
      <c r="A51" s="11" t="inlineStr">
        <is>
          <t>2025-10-02</t>
        </is>
      </c>
      <c r="B51" s="11" t="inlineStr">
        <is>
          <t>RKLB</t>
        </is>
      </c>
      <c r="C51" s="11" t="inlineStr">
        <is>
          <t>ROCKET LAB CORP</t>
        </is>
      </c>
      <c r="D51" s="11" t="inlineStr">
        <is>
          <t>STK</t>
        </is>
      </c>
      <c r="E51" s="11" t="inlineStr">
        <is>
          <t>USD</t>
        </is>
      </c>
      <c r="F51" s="11" t="inlineStr">
        <is>
          <t>BUY</t>
        </is>
      </c>
      <c r="G51" s="11" t="n">
        <v>4</v>
      </c>
      <c r="H51" s="12" t="n">
        <v>52.11</v>
      </c>
      <c r="I51" s="13" t="n">
        <v>0.35434525</v>
      </c>
      <c r="J51" s="13" t="n">
        <v>208.44</v>
      </c>
      <c r="K51" s="13" t="n">
        <v>0</v>
      </c>
      <c r="L51" s="11" t="inlineStr">
        <is>
          <t>DARK</t>
        </is>
      </c>
      <c r="M51" s="11" t="inlineStr">
        <is>
          <t>LIMIT</t>
        </is>
      </c>
    </row>
    <row r="52">
      <c r="A52" s="8" t="inlineStr">
        <is>
          <t>2025-10-08</t>
        </is>
      </c>
      <c r="B52" s="8" t="inlineStr">
        <is>
          <t>IWM</t>
        </is>
      </c>
      <c r="C52" s="8" t="inlineStr">
        <is>
          <t>ISHARES RUSSELL 2000 ETF</t>
        </is>
      </c>
      <c r="D52" s="8" t="inlineStr">
        <is>
          <t>STK</t>
        </is>
      </c>
      <c r="E52" s="8" t="inlineStr">
        <is>
          <t>USD</t>
        </is>
      </c>
      <c r="F52" s="8" t="inlineStr">
        <is>
          <t>SELL</t>
        </is>
      </c>
      <c r="G52" s="8" t="n">
        <v>1</v>
      </c>
      <c r="H52" s="9" t="n">
        <v>246.37</v>
      </c>
      <c r="I52" s="10" t="n">
        <v>0.34904525</v>
      </c>
      <c r="J52" s="10" t="n">
        <v>246.37</v>
      </c>
      <c r="K52" s="10" t="n">
        <v>8.770599000000001</v>
      </c>
      <c r="L52" s="8" t="inlineStr">
        <is>
          <t>ARCA</t>
        </is>
      </c>
      <c r="M52" s="8" t="inlineStr">
        <is>
          <t>LIMIT</t>
        </is>
      </c>
    </row>
    <row r="53">
      <c r="A53" s="11" t="inlineStr">
        <is>
          <t>2025-10-08</t>
        </is>
      </c>
      <c r="B53" s="11" t="inlineStr">
        <is>
          <t>CRWV</t>
        </is>
      </c>
      <c r="C53" s="11" t="inlineStr">
        <is>
          <t>COREWEAVE INC-CL A</t>
        </is>
      </c>
      <c r="D53" s="11" t="inlineStr">
        <is>
          <t>STK</t>
        </is>
      </c>
      <c r="E53" s="11" t="inlineStr">
        <is>
          <t>USD</t>
        </is>
      </c>
      <c r="F53" s="11" t="inlineStr">
        <is>
          <t>BUY</t>
        </is>
      </c>
      <c r="G53" s="11" t="n">
        <v>2</v>
      </c>
      <c r="H53" s="12" t="n">
        <v>139.89</v>
      </c>
      <c r="I53" s="13" t="n">
        <v>0.35070125</v>
      </c>
      <c r="J53" s="13" t="n">
        <v>279.78</v>
      </c>
      <c r="K53" s="13" t="n">
        <v>0</v>
      </c>
      <c r="L53" s="11" t="inlineStr">
        <is>
          <t>IBKRATS</t>
        </is>
      </c>
      <c r="M53" s="11" t="inlineStr">
        <is>
          <t>LIMIT</t>
        </is>
      </c>
    </row>
    <row r="54">
      <c r="A54" s="8" t="inlineStr">
        <is>
          <t>2025-10-08</t>
        </is>
      </c>
      <c r="B54" s="8" t="inlineStr">
        <is>
          <t>GDX</t>
        </is>
      </c>
      <c r="C54" s="8" t="inlineStr">
        <is>
          <t>VANECK GOLD MINERS ETF</t>
        </is>
      </c>
      <c r="D54" s="8" t="inlineStr">
        <is>
          <t>STK</t>
        </is>
      </c>
      <c r="E54" s="8" t="inlineStr">
        <is>
          <t>USD</t>
        </is>
      </c>
      <c r="F54" s="8" t="inlineStr">
        <is>
          <t>SELL</t>
        </is>
      </c>
      <c r="G54" s="8" t="n">
        <v>6</v>
      </c>
      <c r="H54" s="9" t="n">
        <v>78.925</v>
      </c>
      <c r="I54" s="10" t="n">
        <v>0.35258525</v>
      </c>
      <c r="J54" s="10" t="n">
        <v>473.55</v>
      </c>
      <c r="K54" s="10" t="n">
        <v>165.525584</v>
      </c>
      <c r="L54" s="8" t="inlineStr">
        <is>
          <t>IBKRATS</t>
        </is>
      </c>
      <c r="M54" s="8" t="inlineStr">
        <is>
          <t>LIMIT</t>
        </is>
      </c>
    </row>
    <row r="55">
      <c r="A55" s="11" t="inlineStr">
        <is>
          <t>2025-10-09</t>
        </is>
      </c>
      <c r="B55" s="11" t="inlineStr">
        <is>
          <t>BULL</t>
        </is>
      </c>
      <c r="C55" s="11" t="inlineStr">
        <is>
          <t>WEBULL CORP</t>
        </is>
      </c>
      <c r="D55" s="11" t="inlineStr">
        <is>
          <t>STK</t>
        </is>
      </c>
      <c r="E55" s="11" t="inlineStr">
        <is>
          <t>USD</t>
        </is>
      </c>
      <c r="F55" s="11" t="inlineStr">
        <is>
          <t>BUY</t>
        </is>
      </c>
      <c r="G55" s="11" t="n">
        <v>8</v>
      </c>
      <c r="H55" s="12" t="n">
        <v>12.97</v>
      </c>
      <c r="I55" s="13" t="n">
        <v>0.32483325</v>
      </c>
      <c r="J55" s="13" t="n">
        <v>103.76</v>
      </c>
      <c r="K55" s="13" t="n">
        <v>0</v>
      </c>
      <c r="L55" s="11" t="inlineStr">
        <is>
          <t>MEMX</t>
        </is>
      </c>
      <c r="M55" s="11" t="inlineStr">
        <is>
          <t>LIMIT</t>
        </is>
      </c>
    </row>
    <row r="56">
      <c r="A56" s="8" t="inlineStr">
        <is>
          <t>2025-10-10</t>
        </is>
      </c>
      <c r="B56" s="8" t="inlineStr">
        <is>
          <t>MP</t>
        </is>
      </c>
      <c r="C56" s="8" t="inlineStr">
        <is>
          <t>MP MATERIALS CORP</t>
        </is>
      </c>
      <c r="D56" s="8" t="inlineStr">
        <is>
          <t>STK</t>
        </is>
      </c>
      <c r="E56" s="8" t="inlineStr">
        <is>
          <t>USD</t>
        </is>
      </c>
      <c r="F56" s="8" t="inlineStr">
        <is>
          <t>BUY</t>
        </is>
      </c>
      <c r="G56" s="8" t="n">
        <v>3</v>
      </c>
      <c r="H56" s="9" t="n">
        <v>80.98</v>
      </c>
      <c r="I56" s="10" t="n">
        <v>0.34732325</v>
      </c>
      <c r="J56" s="10" t="n">
        <v>242.94</v>
      </c>
      <c r="K56" s="10" t="n">
        <v>0</v>
      </c>
      <c r="L56" s="8" t="inlineStr">
        <is>
          <t>NYSE</t>
        </is>
      </c>
      <c r="M56" s="8" t="inlineStr">
        <is>
          <t>LIMIT</t>
        </is>
      </c>
    </row>
    <row r="57">
      <c r="A57" s="11" t="inlineStr">
        <is>
          <t>2025-10-10</t>
        </is>
      </c>
      <c r="B57" s="11" t="inlineStr">
        <is>
          <t>RKLB</t>
        </is>
      </c>
      <c r="C57" s="11" t="inlineStr">
        <is>
          <t>ROCKET LAB CORP</t>
        </is>
      </c>
      <c r="D57" s="11" t="inlineStr">
        <is>
          <t>STK</t>
        </is>
      </c>
      <c r="E57" s="11" t="inlineStr">
        <is>
          <t>USD</t>
        </is>
      </c>
      <c r="F57" s="11" t="inlineStr">
        <is>
          <t>SELL</t>
        </is>
      </c>
      <c r="G57" s="11" t="n">
        <v>4</v>
      </c>
      <c r="H57" s="12" t="n">
        <v>69.52</v>
      </c>
      <c r="I57" s="13" t="n">
        <v>0.35180925</v>
      </c>
      <c r="J57" s="13" t="n">
        <v>278.08</v>
      </c>
      <c r="K57" s="13" t="n">
        <v>68.933846</v>
      </c>
      <c r="L57" s="11" t="inlineStr">
        <is>
          <t>DARK</t>
        </is>
      </c>
      <c r="M57" s="11" t="inlineStr">
        <is>
          <t>LIMIT</t>
        </is>
      </c>
    </row>
    <row r="58">
      <c r="A58" s="8" t="inlineStr">
        <is>
          <t>2025-10-10</t>
        </is>
      </c>
      <c r="B58" s="8" t="inlineStr">
        <is>
          <t>ARKK</t>
        </is>
      </c>
      <c r="C58" s="8" t="inlineStr">
        <is>
          <t>ARK INNOVATION ETF</t>
        </is>
      </c>
      <c r="D58" s="8" t="inlineStr">
        <is>
          <t>STK</t>
        </is>
      </c>
      <c r="E58" s="8" t="inlineStr">
        <is>
          <t>USD</t>
        </is>
      </c>
      <c r="F58" s="8" t="inlineStr">
        <is>
          <t>SELL</t>
        </is>
      </c>
      <c r="G58" s="8" t="n">
        <v>3</v>
      </c>
      <c r="H58" s="9" t="n">
        <v>87.62</v>
      </c>
      <c r="I58" s="10" t="n">
        <v>0.34662125</v>
      </c>
      <c r="J58" s="10" t="n">
        <v>262.86</v>
      </c>
      <c r="K58" s="10" t="n">
        <v>14.007256</v>
      </c>
      <c r="L58" s="8" t="inlineStr">
        <is>
          <t>ARCA</t>
        </is>
      </c>
      <c r="M58" s="8" t="inlineStr">
        <is>
          <t>LIMIT</t>
        </is>
      </c>
    </row>
    <row r="59">
      <c r="A59" s="11" t="inlineStr">
        <is>
          <t>2025-10-13</t>
        </is>
      </c>
      <c r="B59" s="11" t="inlineStr">
        <is>
          <t>BABA</t>
        </is>
      </c>
      <c r="C59" s="11" t="inlineStr">
        <is>
          <t>ALIBABA GROUP HOLDING-SP ADR</t>
        </is>
      </c>
      <c r="D59" s="11" t="inlineStr">
        <is>
          <t>STK</t>
        </is>
      </c>
      <c r="E59" s="11" t="inlineStr">
        <is>
          <t>USD</t>
        </is>
      </c>
      <c r="F59" s="11" t="inlineStr">
        <is>
          <t>BUY</t>
        </is>
      </c>
      <c r="G59" s="11" t="n">
        <v>2</v>
      </c>
      <c r="H59" s="12" t="n">
        <v>167.575</v>
      </c>
      <c r="I59" s="13" t="n">
        <v>0.35070125</v>
      </c>
      <c r="J59" s="13" t="n">
        <v>335.15</v>
      </c>
      <c r="K59" s="13" t="n">
        <v>0</v>
      </c>
      <c r="L59" s="11" t="inlineStr">
        <is>
          <t>IBKRATS</t>
        </is>
      </c>
      <c r="M59" s="11" t="inlineStr">
        <is>
          <t>LIMIT</t>
        </is>
      </c>
    </row>
    <row r="60">
      <c r="A60" s="8" t="inlineStr">
        <is>
          <t>2025-10-21</t>
        </is>
      </c>
      <c r="B60" s="8" t="inlineStr">
        <is>
          <t>BULL</t>
        </is>
      </c>
      <c r="C60" s="8" t="inlineStr">
        <is>
          <t>WEBULL CORP</t>
        </is>
      </c>
      <c r="D60" s="8" t="inlineStr">
        <is>
          <t>STK</t>
        </is>
      </c>
      <c r="E60" s="8" t="inlineStr">
        <is>
          <t>USD</t>
        </is>
      </c>
      <c r="F60" s="8" t="inlineStr">
        <is>
          <t>SELL</t>
        </is>
      </c>
      <c r="G60" s="8" t="n">
        <v>8</v>
      </c>
      <c r="H60" s="9" t="n">
        <v>11.405</v>
      </c>
      <c r="I60" s="10" t="n">
        <v>0.35336125</v>
      </c>
      <c r="J60" s="10" t="n">
        <v>91.23999999999999</v>
      </c>
      <c r="K60" s="10" t="n">
        <v>-13.198194</v>
      </c>
      <c r="L60" s="8" t="inlineStr">
        <is>
          <t>IBKRATS</t>
        </is>
      </c>
      <c r="M60" s="8" t="inlineStr">
        <is>
          <t>LIMIT</t>
        </is>
      </c>
    </row>
    <row r="61">
      <c r="A61" s="11" t="inlineStr">
        <is>
          <t>2025-10-21</t>
        </is>
      </c>
      <c r="B61" s="11" t="inlineStr">
        <is>
          <t>GDX</t>
        </is>
      </c>
      <c r="C61" s="11" t="inlineStr">
        <is>
          <t>VANECK GOLD MINERS ETF</t>
        </is>
      </c>
      <c r="D61" s="11" t="inlineStr">
        <is>
          <t>STK</t>
        </is>
      </c>
      <c r="E61" s="11" t="inlineStr">
        <is>
          <t>USD</t>
        </is>
      </c>
      <c r="F61" s="11" t="inlineStr">
        <is>
          <t>BUY</t>
        </is>
      </c>
      <c r="G61" s="11" t="n">
        <v>2</v>
      </c>
      <c r="H61" s="12" t="n">
        <v>73.08499999999999</v>
      </c>
      <c r="I61" s="13" t="n">
        <v>0.35070125</v>
      </c>
      <c r="J61" s="13" t="n">
        <v>146.17</v>
      </c>
      <c r="K61" s="13" t="n">
        <v>0</v>
      </c>
      <c r="L61" s="11" t="inlineStr">
        <is>
          <t>IBKRATS</t>
        </is>
      </c>
      <c r="M61" s="11" t="inlineStr">
        <is>
          <t>LIMIT</t>
        </is>
      </c>
    </row>
    <row r="62">
      <c r="A62" s="8" t="inlineStr">
        <is>
          <t>2025-10-21</t>
        </is>
      </c>
      <c r="B62" s="8" t="inlineStr">
        <is>
          <t>GDXJ</t>
        </is>
      </c>
      <c r="C62" s="8" t="inlineStr">
        <is>
          <t>VANECK JUNIOR GOLD MINERS</t>
        </is>
      </c>
      <c r="D62" s="8" t="inlineStr">
        <is>
          <t>STK</t>
        </is>
      </c>
      <c r="E62" s="8" t="inlineStr">
        <is>
          <t>USD</t>
        </is>
      </c>
      <c r="F62" s="8" t="inlineStr">
        <is>
          <t>BUY</t>
        </is>
      </c>
      <c r="G62" s="8" t="n">
        <v>0.5</v>
      </c>
      <c r="H62" s="9" t="n">
        <v>95.45999999999999</v>
      </c>
      <c r="I62" s="10" t="n">
        <v>0.35036825</v>
      </c>
      <c r="J62" s="10" t="n">
        <v>47.73</v>
      </c>
      <c r="K62" s="10" t="n">
        <v>0</v>
      </c>
      <c r="L62" s="8" t="inlineStr">
        <is>
          <t>IBKR</t>
        </is>
      </c>
      <c r="M62" s="8" t="inlineStr">
        <is>
          <t>LIMIT</t>
        </is>
      </c>
    </row>
    <row r="63">
      <c r="A63" s="11" t="inlineStr">
        <is>
          <t>2025-10-21</t>
        </is>
      </c>
      <c r="B63" s="11" t="inlineStr">
        <is>
          <t>GDXJ</t>
        </is>
      </c>
      <c r="C63" s="11" t="inlineStr">
        <is>
          <t>VANECK JUNIOR GOLD MINERS</t>
        </is>
      </c>
      <c r="D63" s="11" t="inlineStr">
        <is>
          <t>STK</t>
        </is>
      </c>
      <c r="E63" s="11" t="inlineStr">
        <is>
          <t>USD</t>
        </is>
      </c>
      <c r="F63" s="11" t="inlineStr">
        <is>
          <t>BUY</t>
        </is>
      </c>
      <c r="G63" s="11" t="n">
        <v>1</v>
      </c>
      <c r="H63" s="12" t="n">
        <v>95.45999999999999</v>
      </c>
      <c r="I63" s="13" t="n">
        <v>0.001022</v>
      </c>
      <c r="J63" s="13" t="n">
        <v>95.45999999999999</v>
      </c>
      <c r="K63" s="13" t="n">
        <v>0</v>
      </c>
      <c r="L63" s="11" t="inlineStr">
        <is>
          <t>DARK</t>
        </is>
      </c>
      <c r="M63" s="11" t="inlineStr">
        <is>
          <t>LIMIT</t>
        </is>
      </c>
    </row>
    <row r="64">
      <c r="A64" s="8" t="inlineStr">
        <is>
          <t>2025-10-24</t>
        </is>
      </c>
      <c r="B64" s="8" t="inlineStr">
        <is>
          <t>CRWV</t>
        </is>
      </c>
      <c r="C64" s="8" t="inlineStr">
        <is>
          <t>COREWEAVE INC-CL A</t>
        </is>
      </c>
      <c r="D64" s="8" t="inlineStr">
        <is>
          <t>STK</t>
        </is>
      </c>
      <c r="E64" s="8" t="inlineStr">
        <is>
          <t>USD</t>
        </is>
      </c>
      <c r="F64" s="8" t="inlineStr">
        <is>
          <t>BUY</t>
        </is>
      </c>
      <c r="G64" s="8" t="n">
        <v>0.3</v>
      </c>
      <c r="H64" s="9" t="n">
        <v>130.25</v>
      </c>
      <c r="I64" s="10" t="n">
        <v>0.35032385</v>
      </c>
      <c r="J64" s="10" t="n">
        <v>39.075</v>
      </c>
      <c r="K64" s="10" t="n">
        <v>0</v>
      </c>
      <c r="L64" s="8" t="inlineStr">
        <is>
          <t>IBKR</t>
        </is>
      </c>
      <c r="M64" s="8" t="inlineStr">
        <is>
          <t>LIMIT</t>
        </is>
      </c>
    </row>
    <row r="65">
      <c r="A65" s="11" t="inlineStr">
        <is>
          <t>2025-10-29</t>
        </is>
      </c>
      <c r="B65" s="11" t="inlineStr">
        <is>
          <t>MP</t>
        </is>
      </c>
      <c r="C65" s="11" t="inlineStr">
        <is>
          <t>MP MATERIALS CORP</t>
        </is>
      </c>
      <c r="D65" s="11" t="inlineStr">
        <is>
          <t>STK</t>
        </is>
      </c>
      <c r="E65" s="11" t="inlineStr">
        <is>
          <t>USD</t>
        </is>
      </c>
      <c r="F65" s="11" t="inlineStr">
        <is>
          <t>SELL</t>
        </is>
      </c>
      <c r="G65" s="11" t="n">
        <v>3</v>
      </c>
      <c r="H65" s="12" t="n">
        <v>64.69</v>
      </c>
      <c r="I65" s="13" t="n">
        <v>0.34782125</v>
      </c>
      <c r="J65" s="13" t="n">
        <v>194.07</v>
      </c>
      <c r="K65" s="13" t="n">
        <v>-49.565144</v>
      </c>
      <c r="L65" s="11" t="inlineStr">
        <is>
          <t>NYSE</t>
        </is>
      </c>
      <c r="M65" s="11" t="inlineStr">
        <is>
          <t>LIMIT</t>
        </is>
      </c>
    </row>
    <row r="66">
      <c r="A66" s="8" t="inlineStr">
        <is>
          <t>2025-10-29</t>
        </is>
      </c>
      <c r="B66" s="8" t="inlineStr">
        <is>
          <t>URNM</t>
        </is>
      </c>
      <c r="C66" s="8" t="inlineStr">
        <is>
          <t>SPROTT URANIUM MINERS ETF</t>
        </is>
      </c>
      <c r="D66" s="8" t="inlineStr">
        <is>
          <t>STK</t>
        </is>
      </c>
      <c r="E66" s="8" t="inlineStr">
        <is>
          <t>USD</t>
        </is>
      </c>
      <c r="F66" s="8" t="inlineStr">
        <is>
          <t>BUY</t>
        </is>
      </c>
      <c r="G66" s="8" t="n">
        <v>3</v>
      </c>
      <c r="H66" s="9" t="n">
        <v>65.38</v>
      </c>
      <c r="I66" s="10" t="n">
        <v>0.34612325</v>
      </c>
      <c r="J66" s="10" t="n">
        <v>196.14</v>
      </c>
      <c r="K66" s="10" t="n">
        <v>0</v>
      </c>
      <c r="L66" s="8" t="inlineStr">
        <is>
          <t>ARCA</t>
        </is>
      </c>
      <c r="M66" s="8" t="inlineStr">
        <is>
          <t>LIMIT</t>
        </is>
      </c>
    </row>
    <row r="67">
      <c r="A67" s="11" t="inlineStr">
        <is>
          <t>2025-11-20</t>
        </is>
      </c>
      <c r="B67" s="11" t="inlineStr">
        <is>
          <t>MRVL</t>
        </is>
      </c>
      <c r="C67" s="11" t="inlineStr">
        <is>
          <t>MARVELL TECHNOLOGY INC</t>
        </is>
      </c>
      <c r="D67" s="11" t="inlineStr">
        <is>
          <t>STK</t>
        </is>
      </c>
      <c r="E67" s="11" t="inlineStr">
        <is>
          <t>USD</t>
        </is>
      </c>
      <c r="F67" s="11" t="inlineStr">
        <is>
          <t>SELL</t>
        </is>
      </c>
      <c r="G67" s="11" t="n">
        <v>4</v>
      </c>
      <c r="H67" s="12" t="n">
        <v>77.86</v>
      </c>
      <c r="I67" s="13" t="n">
        <v>0.34660925</v>
      </c>
      <c r="J67" s="13" t="n">
        <v>311.44</v>
      </c>
      <c r="K67" s="13" t="n">
        <v>51.654578</v>
      </c>
      <c r="L67" s="11" t="inlineStr">
        <is>
          <t>NASDAQ</t>
        </is>
      </c>
      <c r="M67" s="11" t="inlineStr">
        <is>
          <t>LIMIT</t>
        </is>
      </c>
    </row>
    <row r="68">
      <c r="A68" s="8" t="inlineStr">
        <is>
          <t>2025-11-24</t>
        </is>
      </c>
      <c r="B68" s="8" t="inlineStr">
        <is>
          <t>BABA</t>
        </is>
      </c>
      <c r="C68" s="8" t="inlineStr">
        <is>
          <t>ALIBABA GROUP HOLDING-SP ADR</t>
        </is>
      </c>
      <c r="D68" s="8" t="inlineStr">
        <is>
          <t>STK</t>
        </is>
      </c>
      <c r="E68" s="8" t="inlineStr">
        <is>
          <t>USD</t>
        </is>
      </c>
      <c r="F68" s="8" t="inlineStr">
        <is>
          <t>BUY</t>
        </is>
      </c>
      <c r="G68" s="8" t="n">
        <v>1</v>
      </c>
      <c r="H68" s="9" t="n">
        <v>160.57</v>
      </c>
      <c r="I68" s="10" t="n">
        <v>0.34847925</v>
      </c>
      <c r="J68" s="10" t="n">
        <v>160.57</v>
      </c>
      <c r="K68" s="10" t="n">
        <v>0</v>
      </c>
      <c r="L68" s="8" t="inlineStr">
        <is>
          <t>ARCA</t>
        </is>
      </c>
      <c r="M68" s="8" t="inlineStr">
        <is>
          <t>LIMIT</t>
        </is>
      </c>
    </row>
    <row r="69">
      <c r="A69" s="11" t="inlineStr">
        <is>
          <t>2025-11-24</t>
        </is>
      </c>
      <c r="B69" s="11" t="inlineStr">
        <is>
          <t>SLV</t>
        </is>
      </c>
      <c r="C69" s="11" t="inlineStr">
        <is>
          <t>ISHARES SILVER TRUST</t>
        </is>
      </c>
      <c r="D69" s="11" t="inlineStr">
        <is>
          <t>STK</t>
        </is>
      </c>
      <c r="E69" s="11" t="inlineStr">
        <is>
          <t>USD</t>
        </is>
      </c>
      <c r="F69" s="11" t="inlineStr">
        <is>
          <t>BUY</t>
        </is>
      </c>
      <c r="G69" s="11" t="n">
        <v>5</v>
      </c>
      <c r="H69" s="12" t="n">
        <v>46.35</v>
      </c>
      <c r="I69" s="13" t="n">
        <v>0.35136725</v>
      </c>
      <c r="J69" s="13" t="n">
        <v>231.75</v>
      </c>
      <c r="K69" s="13" t="n">
        <v>0</v>
      </c>
      <c r="L69" s="11" t="inlineStr">
        <is>
          <t>IBKRATS</t>
        </is>
      </c>
      <c r="M69" s="11" t="inlineStr">
        <is>
          <t>LIMIT</t>
        </is>
      </c>
    </row>
    <row r="70">
      <c r="A70" s="8" t="inlineStr">
        <is>
          <t>2025-11-26</t>
        </is>
      </c>
      <c r="B70" s="8" t="inlineStr">
        <is>
          <t>USD.AED</t>
        </is>
      </c>
      <c r="C70" s="8" t="inlineStr">
        <is>
          <t>United States dollar</t>
        </is>
      </c>
      <c r="D70" s="8" t="inlineStr">
        <is>
          <t>CASH</t>
        </is>
      </c>
      <c r="E70" s="8" t="inlineStr">
        <is>
          <t>AED</t>
        </is>
      </c>
      <c r="F70" s="8" t="inlineStr">
        <is>
          <t>BUY</t>
        </is>
      </c>
      <c r="G70" s="8" t="n">
        <v>625</v>
      </c>
      <c r="H70" s="9" t="n">
        <v>3.67401</v>
      </c>
      <c r="I70" s="10" t="n">
        <v>0</v>
      </c>
      <c r="J70" s="10" t="n">
        <v>-2296.25625</v>
      </c>
      <c r="K70" s="10" t="n">
        <v>0</v>
      </c>
      <c r="L70" s="8" t="inlineStr">
        <is>
          <t>FXCONV</t>
        </is>
      </c>
      <c r="M70" s="8" t="inlineStr">
        <is>
          <t>MARKET</t>
        </is>
      </c>
    </row>
    <row r="71">
      <c r="A71" s="11" t="inlineStr">
        <is>
          <t>2025-11-26</t>
        </is>
      </c>
      <c r="B71" s="11" t="inlineStr">
        <is>
          <t>META</t>
        </is>
      </c>
      <c r="C71" s="11" t="inlineStr">
        <is>
          <t>META PLATFORMS INC-CLASS A</t>
        </is>
      </c>
      <c r="D71" s="11" t="inlineStr">
        <is>
          <t>STK</t>
        </is>
      </c>
      <c r="E71" s="11" t="inlineStr">
        <is>
          <t>USD</t>
        </is>
      </c>
      <c r="F71" s="11" t="inlineStr">
        <is>
          <t>BUY</t>
        </is>
      </c>
      <c r="G71" s="11" t="n">
        <v>1</v>
      </c>
      <c r="H71" s="12" t="n">
        <v>634.09</v>
      </c>
      <c r="I71" s="13" t="n">
        <v>0.34917925</v>
      </c>
      <c r="J71" s="13" t="n">
        <v>634.09</v>
      </c>
      <c r="K71" s="13" t="n">
        <v>0</v>
      </c>
      <c r="L71" s="11" t="inlineStr">
        <is>
          <t>NASDAQ</t>
        </is>
      </c>
      <c r="M71" s="11" t="inlineStr">
        <is>
          <t>LIMIT</t>
        </is>
      </c>
    </row>
    <row r="72">
      <c r="A72" s="8" t="inlineStr">
        <is>
          <t>2025-12-11</t>
        </is>
      </c>
      <c r="B72" s="8" t="inlineStr">
        <is>
          <t>USD.AED</t>
        </is>
      </c>
      <c r="C72" s="8" t="inlineStr">
        <is>
          <t>United States dollar</t>
        </is>
      </c>
      <c r="D72" s="8" t="inlineStr">
        <is>
          <t>CASH</t>
        </is>
      </c>
      <c r="E72" s="8" t="inlineStr">
        <is>
          <t>AED</t>
        </is>
      </c>
      <c r="F72" s="8" t="inlineStr">
        <is>
          <t>BUY</t>
        </is>
      </c>
      <c r="G72" s="8" t="n">
        <v>727</v>
      </c>
      <c r="H72" s="9" t="n">
        <v>3.67415</v>
      </c>
      <c r="I72" s="10" t="n">
        <v>0</v>
      </c>
      <c r="J72" s="10" t="n">
        <v>-2671.10705</v>
      </c>
      <c r="K72" s="10" t="n">
        <v>0</v>
      </c>
      <c r="L72" s="8" t="inlineStr">
        <is>
          <t>FXCONV</t>
        </is>
      </c>
      <c r="M72" s="8" t="inlineStr">
        <is>
          <t>MARKET</t>
        </is>
      </c>
    </row>
    <row r="73">
      <c r="A73" s="11" t="inlineStr">
        <is>
          <t>2025-12-11</t>
        </is>
      </c>
      <c r="B73" s="11" t="inlineStr">
        <is>
          <t>USD.AED</t>
        </is>
      </c>
      <c r="C73" s="11" t="inlineStr">
        <is>
          <t>United States dollar</t>
        </is>
      </c>
      <c r="D73" s="11" t="inlineStr">
        <is>
          <t>CASH</t>
        </is>
      </c>
      <c r="E73" s="11" t="inlineStr">
        <is>
          <t>AED</t>
        </is>
      </c>
      <c r="F73" s="11" t="inlineStr">
        <is>
          <t>BUY</t>
        </is>
      </c>
      <c r="G73" s="11" t="n">
        <v>1</v>
      </c>
      <c r="H73" s="12" t="n">
        <v>3.67418</v>
      </c>
      <c r="I73" s="13" t="n">
        <v>0</v>
      </c>
      <c r="J73" s="13" t="n">
        <v>-3.67418</v>
      </c>
      <c r="K73" s="13" t="n">
        <v>0</v>
      </c>
      <c r="L73" s="11" t="inlineStr">
        <is>
          <t>FXCONV</t>
        </is>
      </c>
      <c r="M73" s="11" t="inlineStr">
        <is>
          <t>MARKET</t>
        </is>
      </c>
    </row>
    <row r="74">
      <c r="A74" s="8" t="inlineStr">
        <is>
          <t>2025-12-11</t>
        </is>
      </c>
      <c r="B74" s="8" t="inlineStr">
        <is>
          <t>GLD</t>
        </is>
      </c>
      <c r="C74" s="8" t="inlineStr">
        <is>
          <t>SPDR GOLD SHARES</t>
        </is>
      </c>
      <c r="D74" s="8" t="inlineStr">
        <is>
          <t>STK</t>
        </is>
      </c>
      <c r="E74" s="8" t="inlineStr">
        <is>
          <t>USD</t>
        </is>
      </c>
      <c r="F74" s="8" t="inlineStr">
        <is>
          <t>BUY</t>
        </is>
      </c>
      <c r="G74" s="8" t="n">
        <v>0.85</v>
      </c>
      <c r="H74" s="9" t="n">
        <v>393.14</v>
      </c>
      <c r="I74" s="10" t="n">
        <v>0.35042725</v>
      </c>
      <c r="J74" s="10" t="n">
        <v>334.169</v>
      </c>
      <c r="K74" s="10" t="n">
        <v>0</v>
      </c>
      <c r="L74" s="8" t="inlineStr">
        <is>
          <t>IBKR</t>
        </is>
      </c>
      <c r="M74" s="8" t="inlineStr">
        <is>
          <t>LIMIT</t>
        </is>
      </c>
    </row>
    <row r="75">
      <c r="A75" s="11" t="inlineStr">
        <is>
          <t>2025-12-11</t>
        </is>
      </c>
      <c r="B75" s="11" t="inlineStr">
        <is>
          <t>GLD</t>
        </is>
      </c>
      <c r="C75" s="11" t="inlineStr">
        <is>
          <t>SPDR GOLD SHARES</t>
        </is>
      </c>
      <c r="D75" s="11" t="inlineStr">
        <is>
          <t>STK</t>
        </is>
      </c>
      <c r="E75" s="11" t="inlineStr">
        <is>
          <t>USD</t>
        </is>
      </c>
      <c r="F75" s="11" t="inlineStr">
        <is>
          <t>BUY</t>
        </is>
      </c>
      <c r="G75" s="11" t="n">
        <v>1</v>
      </c>
      <c r="H75" s="12" t="n">
        <v>393.125</v>
      </c>
      <c r="I75" s="13" t="n">
        <v>0.0002</v>
      </c>
      <c r="J75" s="13" t="n">
        <v>393.125</v>
      </c>
      <c r="K75" s="13" t="n">
        <v>0</v>
      </c>
      <c r="L75" s="11" t="inlineStr">
        <is>
          <t>IBKRATS</t>
        </is>
      </c>
      <c r="M75" s="11" t="inlineStr">
        <is>
          <t>LIMIT</t>
        </is>
      </c>
    </row>
    <row r="76">
      <c r="A76" s="8" t="inlineStr">
        <is>
          <t>2025-12-26</t>
        </is>
      </c>
      <c r="B76" s="8" t="inlineStr">
        <is>
          <t>SIL</t>
        </is>
      </c>
      <c r="C76" s="8" t="inlineStr">
        <is>
          <t>GLOBAL X SILVER MINERS ETF</t>
        </is>
      </c>
      <c r="D76" s="8" t="inlineStr">
        <is>
          <t>STK</t>
        </is>
      </c>
      <c r="E76" s="8" t="inlineStr">
        <is>
          <t>USD</t>
        </is>
      </c>
      <c r="F76" s="8" t="inlineStr">
        <is>
          <t>SELL</t>
        </is>
      </c>
      <c r="G76" s="8" t="n">
        <v>9</v>
      </c>
      <c r="H76" s="9" t="n">
        <v>89.26139999999999</v>
      </c>
      <c r="I76" s="10" t="n">
        <v>0.35355125</v>
      </c>
      <c r="J76" s="10" t="n">
        <v>803.3526000000001</v>
      </c>
      <c r="K76" s="10" t="n">
        <v>372.246298</v>
      </c>
      <c r="L76" s="8" t="inlineStr">
        <is>
          <t>DARK</t>
        </is>
      </c>
      <c r="M76" s="8" t="inlineStr">
        <is>
          <t>LIMIT</t>
        </is>
      </c>
    </row>
    <row r="77">
      <c r="A77" s="11" t="inlineStr">
        <is>
          <t>2025-12-26</t>
        </is>
      </c>
      <c r="B77" s="11" t="inlineStr">
        <is>
          <t>CRWV</t>
        </is>
      </c>
      <c r="C77" s="11" t="inlineStr">
        <is>
          <t>COREWEAVE INC-CL A</t>
        </is>
      </c>
      <c r="D77" s="11" t="inlineStr">
        <is>
          <t>STK</t>
        </is>
      </c>
      <c r="E77" s="11" t="inlineStr">
        <is>
          <t>USD</t>
        </is>
      </c>
      <c r="F77" s="11" t="inlineStr">
        <is>
          <t>SELL</t>
        </is>
      </c>
      <c r="G77" s="11" t="n">
        <v>2</v>
      </c>
      <c r="H77" s="12" t="n">
        <v>76.741</v>
      </c>
      <c r="I77" s="13" t="n">
        <v>0.35098925</v>
      </c>
      <c r="J77" s="13" t="n">
        <v>153.482</v>
      </c>
      <c r="K77" s="13" t="n">
        <v>-117.932187</v>
      </c>
      <c r="L77" s="11" t="inlineStr">
        <is>
          <t>DARK</t>
        </is>
      </c>
      <c r="M77" s="11" t="inlineStr">
        <is>
          <t>LIMIT</t>
        </is>
      </c>
    </row>
    <row r="78">
      <c r="A78" s="8" t="inlineStr">
        <is>
          <t>2025-12-26</t>
        </is>
      </c>
      <c r="B78" s="8" t="inlineStr">
        <is>
          <t>CRWV</t>
        </is>
      </c>
      <c r="C78" s="8" t="inlineStr">
        <is>
          <t>COREWEAVE INC-CL A</t>
        </is>
      </c>
      <c r="D78" s="8" t="inlineStr">
        <is>
          <t>STK</t>
        </is>
      </c>
      <c r="E78" s="8" t="inlineStr">
        <is>
          <t>USD</t>
        </is>
      </c>
      <c r="F78" s="8" t="inlineStr">
        <is>
          <t>SELL</t>
        </is>
      </c>
      <c r="G78" s="8" t="n">
        <v>2</v>
      </c>
      <c r="H78" s="9" t="n">
        <v>76.73999999999999</v>
      </c>
      <c r="I78" s="10" t="n">
        <v>0.000732</v>
      </c>
      <c r="J78" s="10" t="n">
        <v>153.48</v>
      </c>
      <c r="K78" s="10" t="n">
        <v>-124.057152</v>
      </c>
      <c r="L78" s="8" t="inlineStr">
        <is>
          <t>DARK</t>
        </is>
      </c>
      <c r="M78" s="8" t="inlineStr">
        <is>
          <t>LIMIT</t>
        </is>
      </c>
    </row>
    <row r="79">
      <c r="A79" s="11" t="inlineStr">
        <is>
          <t>2025-12-26</t>
        </is>
      </c>
      <c r="B79" s="11" t="inlineStr">
        <is>
          <t>CPER</t>
        </is>
      </c>
      <c r="C79" s="11" t="inlineStr">
        <is>
          <t>UNITED STATES COPPER INDEX</t>
        </is>
      </c>
      <c r="D79" s="11" t="inlineStr">
        <is>
          <t>STK</t>
        </is>
      </c>
      <c r="E79" s="11" t="inlineStr">
        <is>
          <t>USD</t>
        </is>
      </c>
      <c r="F79" s="11" t="inlineStr">
        <is>
          <t>BUY</t>
        </is>
      </c>
      <c r="G79" s="11" t="n">
        <v>12</v>
      </c>
      <c r="H79" s="12" t="n">
        <v>35.87</v>
      </c>
      <c r="I79" s="13" t="n">
        <v>0.35265725</v>
      </c>
      <c r="J79" s="13" t="n">
        <v>430.44</v>
      </c>
      <c r="K79" s="13" t="n">
        <v>0</v>
      </c>
      <c r="L79" s="11" t="inlineStr">
        <is>
          <t>IBKRATS</t>
        </is>
      </c>
      <c r="M79" s="11" t="inlineStr">
        <is>
          <t>LIMIT</t>
        </is>
      </c>
    </row>
    <row r="80">
      <c r="A80" s="8" t="inlineStr">
        <is>
          <t>2025-12-26</t>
        </is>
      </c>
      <c r="B80" s="8" t="inlineStr">
        <is>
          <t>GLD</t>
        </is>
      </c>
      <c r="C80" s="8" t="inlineStr">
        <is>
          <t>SPDR GOLD SHARES</t>
        </is>
      </c>
      <c r="D80" s="8" t="inlineStr">
        <is>
          <t>STK</t>
        </is>
      </c>
      <c r="E80" s="8" t="inlineStr">
        <is>
          <t>USD</t>
        </is>
      </c>
      <c r="F80" s="8" t="inlineStr">
        <is>
          <t>BUY</t>
        </is>
      </c>
      <c r="G80" s="8" t="n">
        <v>1</v>
      </c>
      <c r="H80" s="9" t="n">
        <v>415.2783</v>
      </c>
      <c r="I80" s="10" t="n">
        <v>0.35045725</v>
      </c>
      <c r="J80" s="10" t="n">
        <v>415.2783</v>
      </c>
      <c r="K80" s="10" t="n">
        <v>0</v>
      </c>
      <c r="L80" s="8" t="inlineStr">
        <is>
          <t>DARK</t>
        </is>
      </c>
      <c r="M80" s="8" t="inlineStr">
        <is>
          <t>LIMIT</t>
        </is>
      </c>
    </row>
    <row r="81">
      <c r="A81" s="11" t="inlineStr">
        <is>
          <t>2025-12-26</t>
        </is>
      </c>
      <c r="B81" s="11" t="inlineStr">
        <is>
          <t>SLV</t>
        </is>
      </c>
      <c r="C81" s="11" t="inlineStr">
        <is>
          <t>ISHARES SILVER TRUST</t>
        </is>
      </c>
      <c r="D81" s="11" t="inlineStr">
        <is>
          <t>STK</t>
        </is>
      </c>
      <c r="E81" s="11" t="inlineStr">
        <is>
          <t>USD</t>
        </is>
      </c>
      <c r="F81" s="11" t="inlineStr">
        <is>
          <t>SELL</t>
        </is>
      </c>
      <c r="G81" s="11" t="n">
        <v>5</v>
      </c>
      <c r="H81" s="12" t="n">
        <v>69.495</v>
      </c>
      <c r="I81" s="13" t="n">
        <v>0.35208725</v>
      </c>
      <c r="J81" s="13" t="n">
        <v>347.475</v>
      </c>
      <c r="K81" s="13" t="n">
        <v>160.929897</v>
      </c>
      <c r="L81" s="11" t="inlineStr">
        <is>
          <t>IBKRATS</t>
        </is>
      </c>
      <c r="M81" s="11" t="inlineStr">
        <is>
          <t>LIMIT</t>
        </is>
      </c>
    </row>
    <row r="82">
      <c r="A82" s="8" t="inlineStr">
        <is>
          <t>2025-12-29</t>
        </is>
      </c>
      <c r="B82" s="8" t="inlineStr">
        <is>
          <t>SLV</t>
        </is>
      </c>
      <c r="C82" s="8" t="inlineStr">
        <is>
          <t>ISHARES SILVER TRUST</t>
        </is>
      </c>
      <c r="D82" s="8" t="inlineStr">
        <is>
          <t>STK</t>
        </is>
      </c>
      <c r="E82" s="8" t="inlineStr">
        <is>
          <t>USD</t>
        </is>
      </c>
      <c r="F82" s="8" t="inlineStr">
        <is>
          <t>BUY</t>
        </is>
      </c>
      <c r="G82" s="8" t="n">
        <v>3</v>
      </c>
      <c r="H82" s="9" t="n">
        <v>65.08499999999999</v>
      </c>
      <c r="I82" s="10" t="n">
        <v>0.35085725</v>
      </c>
      <c r="J82" s="10" t="n">
        <v>195.255</v>
      </c>
      <c r="K82" s="10" t="n">
        <v>0</v>
      </c>
      <c r="L82" s="8" t="inlineStr">
        <is>
          <t>IBKRATS</t>
        </is>
      </c>
      <c r="M82" s="8" t="inlineStr">
        <is>
          <t>LIMIT</t>
        </is>
      </c>
    </row>
    <row r="83">
      <c r="A83" s="11" t="inlineStr">
        <is>
          <t>2025-12-29</t>
        </is>
      </c>
      <c r="B83" s="11" t="inlineStr">
        <is>
          <t>SLV</t>
        </is>
      </c>
      <c r="C83" s="11" t="inlineStr">
        <is>
          <t>ISHARES SILVER TRUST</t>
        </is>
      </c>
      <c r="D83" s="11" t="inlineStr">
        <is>
          <t>STK</t>
        </is>
      </c>
      <c r="E83" s="11" t="inlineStr">
        <is>
          <t>USD</t>
        </is>
      </c>
      <c r="F83" s="11" t="inlineStr">
        <is>
          <t>BUY</t>
        </is>
      </c>
      <c r="G83" s="11" t="n">
        <v>3</v>
      </c>
      <c r="H83" s="12" t="n">
        <v>65.08499999999999</v>
      </c>
      <c r="I83" s="13" t="n">
        <v>0.0005999999999999999</v>
      </c>
      <c r="J83" s="13" t="n">
        <v>195.255</v>
      </c>
      <c r="K83" s="13" t="n">
        <v>0</v>
      </c>
      <c r="L83" s="11" t="inlineStr">
        <is>
          <t>IBKRATS</t>
        </is>
      </c>
      <c r="M83" s="11" t="inlineStr">
        <is>
          <t>LIMIT</t>
        </is>
      </c>
    </row>
    <row r="84">
      <c r="A84" s="8" t="inlineStr">
        <is>
          <t>2025-12-29</t>
        </is>
      </c>
      <c r="B84" s="8" t="inlineStr">
        <is>
          <t>USD.AED</t>
        </is>
      </c>
      <c r="C84" s="8" t="inlineStr">
        <is>
          <t>United States dollar</t>
        </is>
      </c>
      <c r="D84" s="8" t="inlineStr">
        <is>
          <t>CASH</t>
        </is>
      </c>
      <c r="E84" s="8" t="inlineStr">
        <is>
          <t>AED</t>
        </is>
      </c>
      <c r="F84" s="8" t="inlineStr">
        <is>
          <t>BUY</t>
        </is>
      </c>
      <c r="G84" s="8" t="n">
        <v>165</v>
      </c>
      <c r="H84" s="9" t="n">
        <v>3.67411</v>
      </c>
      <c r="I84" s="10" t="n">
        <v>0</v>
      </c>
      <c r="J84" s="10" t="n">
        <v>-606.22815</v>
      </c>
      <c r="K84" s="10" t="n">
        <v>0</v>
      </c>
      <c r="L84" s="8" t="inlineStr">
        <is>
          <t>FXCONV</t>
        </is>
      </c>
      <c r="M84" s="8" t="inlineStr">
        <is>
          <t>MARKET</t>
        </is>
      </c>
    </row>
    <row r="85">
      <c r="A85" s="11" t="inlineStr">
        <is>
          <t>2025-12-29</t>
        </is>
      </c>
      <c r="B85" s="11" t="inlineStr">
        <is>
          <t>GLD</t>
        </is>
      </c>
      <c r="C85" s="11" t="inlineStr">
        <is>
          <t>SPDR GOLD SHARES</t>
        </is>
      </c>
      <c r="D85" s="11" t="inlineStr">
        <is>
          <t>STK</t>
        </is>
      </c>
      <c r="E85" s="11" t="inlineStr">
        <is>
          <t>USD</t>
        </is>
      </c>
      <c r="F85" s="11" t="inlineStr">
        <is>
          <t>BUY</t>
        </is>
      </c>
      <c r="G85" s="11" t="n">
        <v>1</v>
      </c>
      <c r="H85" s="12" t="n">
        <v>398.2</v>
      </c>
      <c r="I85" s="13" t="n">
        <v>0.34885725</v>
      </c>
      <c r="J85" s="13" t="n">
        <v>398.2</v>
      </c>
      <c r="K85" s="13" t="n">
        <v>0</v>
      </c>
      <c r="L85" s="11" t="inlineStr">
        <is>
          <t>ARCA</t>
        </is>
      </c>
      <c r="M85" s="11" t="inlineStr">
        <is>
          <t>LIMIT</t>
        </is>
      </c>
    </row>
    <row r="86">
      <c r="A86" s="8" t="inlineStr">
        <is>
          <t>2026-01-06</t>
        </is>
      </c>
      <c r="B86" s="8" t="inlineStr">
        <is>
          <t>USD.AED</t>
        </is>
      </c>
      <c r="C86" s="8" t="inlineStr">
        <is>
          <t>United States dollar</t>
        </is>
      </c>
      <c r="D86" s="8" t="inlineStr">
        <is>
          <t>CASH</t>
        </is>
      </c>
      <c r="E86" s="8" t="inlineStr">
        <is>
          <t>AED</t>
        </is>
      </c>
      <c r="F86" s="8" t="inlineStr">
        <is>
          <t>BUY</t>
        </is>
      </c>
      <c r="G86" s="8" t="n">
        <v>247</v>
      </c>
      <c r="H86" s="9" t="n">
        <v>3.67426</v>
      </c>
      <c r="I86" s="10" t="n">
        <v>0</v>
      </c>
      <c r="J86" s="10" t="n">
        <v>-907.54222</v>
      </c>
      <c r="K86" s="10" t="n">
        <v>0</v>
      </c>
      <c r="L86" s="8" t="inlineStr">
        <is>
          <t>FXCONV</t>
        </is>
      </c>
      <c r="M86" s="8" t="inlineStr">
        <is>
          <t>MARKET</t>
        </is>
      </c>
    </row>
    <row r="87">
      <c r="A87" s="11" t="inlineStr">
        <is>
          <t>2026-01-06</t>
        </is>
      </c>
      <c r="B87" s="11" t="inlineStr">
        <is>
          <t>URA</t>
        </is>
      </c>
      <c r="C87" s="11" t="inlineStr">
        <is>
          <t>GLOBAL X URANIUM ETF</t>
        </is>
      </c>
      <c r="D87" s="11" t="inlineStr">
        <is>
          <t>STK</t>
        </is>
      </c>
      <c r="E87" s="11" t="inlineStr">
        <is>
          <t>USD</t>
        </is>
      </c>
      <c r="F87" s="11" t="inlineStr">
        <is>
          <t>BUY</t>
        </is>
      </c>
      <c r="G87" s="11" t="n">
        <v>5</v>
      </c>
      <c r="H87" s="12" t="n">
        <v>49.34</v>
      </c>
      <c r="I87" s="13" t="n">
        <v>0.34325725</v>
      </c>
      <c r="J87" s="13" t="n">
        <v>246.7</v>
      </c>
      <c r="K87" s="13" t="n">
        <v>0</v>
      </c>
      <c r="L87" s="11" t="inlineStr">
        <is>
          <t>ARCA</t>
        </is>
      </c>
      <c r="M87" s="11" t="inlineStr">
        <is>
          <t>LIMIT</t>
        </is>
      </c>
    </row>
    <row r="88">
      <c r="A88" s="8" t="inlineStr">
        <is>
          <t>2026-01-08</t>
        </is>
      </c>
      <c r="B88" s="8" t="inlineStr">
        <is>
          <t>USD.AED</t>
        </is>
      </c>
      <c r="C88" s="8" t="inlineStr">
        <is>
          <t>United States dollar</t>
        </is>
      </c>
      <c r="D88" s="8" t="inlineStr">
        <is>
          <t>CASH</t>
        </is>
      </c>
      <c r="E88" s="8" t="inlineStr">
        <is>
          <t>AED</t>
        </is>
      </c>
      <c r="F88" s="8" t="inlineStr">
        <is>
          <t>BUY</t>
        </is>
      </c>
      <c r="G88" s="8" t="n">
        <v>148</v>
      </c>
      <c r="H88" s="9" t="n">
        <v>3.67425</v>
      </c>
      <c r="I88" s="10" t="n">
        <v>0</v>
      </c>
      <c r="J88" s="10" t="n">
        <v>-543.789</v>
      </c>
      <c r="K88" s="10" t="n">
        <v>0</v>
      </c>
      <c r="L88" s="8" t="inlineStr">
        <is>
          <t>FXCONV</t>
        </is>
      </c>
      <c r="M88" s="8" t="inlineStr">
        <is>
          <t>MARKET</t>
        </is>
      </c>
    </row>
    <row r="89">
      <c r="A89" s="11" t="inlineStr">
        <is>
          <t>2026-01-08</t>
        </is>
      </c>
      <c r="B89" s="11" t="inlineStr">
        <is>
          <t>INTC</t>
        </is>
      </c>
      <c r="C89" s="11" t="inlineStr">
        <is>
          <t>INTEL CORP</t>
        </is>
      </c>
      <c r="D89" s="11" t="inlineStr">
        <is>
          <t>STK</t>
        </is>
      </c>
      <c r="E89" s="11" t="inlineStr">
        <is>
          <t>USD</t>
        </is>
      </c>
      <c r="F89" s="11" t="inlineStr">
        <is>
          <t>BUY</t>
        </is>
      </c>
      <c r="G89" s="11" t="n">
        <v>4</v>
      </c>
      <c r="H89" s="12" t="n">
        <v>41.205</v>
      </c>
      <c r="I89" s="13" t="n">
        <v>0.35105725</v>
      </c>
      <c r="J89" s="13" t="n">
        <v>164.82</v>
      </c>
      <c r="K89" s="13" t="n">
        <v>0</v>
      </c>
      <c r="L89" s="11" t="inlineStr">
        <is>
          <t>DARK</t>
        </is>
      </c>
      <c r="M89" s="11" t="inlineStr">
        <is>
          <t>LIMIT</t>
        </is>
      </c>
    </row>
    <row r="90">
      <c r="A90" s="8" t="inlineStr">
        <is>
          <t>2026-01-09</t>
        </is>
      </c>
      <c r="B90" s="8" t="inlineStr">
        <is>
          <t>URNM</t>
        </is>
      </c>
      <c r="C90" s="8" t="inlineStr">
        <is>
          <t>SPROTT URANIUM MINERS ETF</t>
        </is>
      </c>
      <c r="D90" s="8" t="inlineStr">
        <is>
          <t>STK</t>
        </is>
      </c>
      <c r="E90" s="8" t="inlineStr">
        <is>
          <t>USD</t>
        </is>
      </c>
      <c r="F90" s="8" t="inlineStr">
        <is>
          <t>SELL</t>
        </is>
      </c>
      <c r="G90" s="8" t="n">
        <v>4</v>
      </c>
      <c r="H90" s="9" t="n">
        <v>63.29</v>
      </c>
      <c r="I90" s="10" t="n">
        <v>0.34543725</v>
      </c>
      <c r="J90" s="10" t="n">
        <v>253.16</v>
      </c>
      <c r="K90" s="10" t="n">
        <v>-2.374463</v>
      </c>
      <c r="L90" s="8" t="inlineStr">
        <is>
          <t>ARCA</t>
        </is>
      </c>
      <c r="M90" s="8" t="inlineStr">
        <is>
          <t>LIMIT</t>
        </is>
      </c>
    </row>
    <row r="91">
      <c r="A91" s="11" t="inlineStr">
        <is>
          <t>2026-01-09</t>
        </is>
      </c>
      <c r="B91" s="11" t="inlineStr">
        <is>
          <t>USD.AED</t>
        </is>
      </c>
      <c r="C91" s="11" t="inlineStr">
        <is>
          <t>United States dollar</t>
        </is>
      </c>
      <c r="D91" s="11" t="inlineStr">
        <is>
          <t>CASH</t>
        </is>
      </c>
      <c r="E91" s="11" t="inlineStr">
        <is>
          <t>AED</t>
        </is>
      </c>
      <c r="F91" s="11" t="inlineStr">
        <is>
          <t>BUY</t>
        </is>
      </c>
      <c r="G91" s="11" t="n">
        <v>95</v>
      </c>
      <c r="H91" s="12" t="n">
        <v>3.67425</v>
      </c>
      <c r="I91" s="13" t="n">
        <v>0</v>
      </c>
      <c r="J91" s="13" t="n">
        <v>-349.05375</v>
      </c>
      <c r="K91" s="13" t="n">
        <v>0</v>
      </c>
      <c r="L91" s="11" t="inlineStr">
        <is>
          <t>FXCONV</t>
        </is>
      </c>
      <c r="M91" s="11" t="inlineStr">
        <is>
          <t>MARKET</t>
        </is>
      </c>
    </row>
    <row r="92">
      <c r="A92" s="8" t="inlineStr">
        <is>
          <t>2026-01-09</t>
        </is>
      </c>
      <c r="B92" s="8" t="inlineStr">
        <is>
          <t>USD.AED</t>
        </is>
      </c>
      <c r="C92" s="8" t="inlineStr">
        <is>
          <t>United States dollar</t>
        </is>
      </c>
      <c r="D92" s="8" t="inlineStr">
        <is>
          <t>CASH</t>
        </is>
      </c>
      <c r="E92" s="8" t="inlineStr">
        <is>
          <t>AED</t>
        </is>
      </c>
      <c r="F92" s="8" t="inlineStr">
        <is>
          <t>BUY</t>
        </is>
      </c>
      <c r="G92" s="8" t="n">
        <v>1</v>
      </c>
      <c r="H92" s="9" t="n">
        <v>3.67424</v>
      </c>
      <c r="I92" s="10" t="n">
        <v>0</v>
      </c>
      <c r="J92" s="10" t="n">
        <v>-3.67424</v>
      </c>
      <c r="K92" s="10" t="n">
        <v>0</v>
      </c>
      <c r="L92" s="8" t="inlineStr">
        <is>
          <t>FXCONV</t>
        </is>
      </c>
      <c r="M92" s="8" t="inlineStr">
        <is>
          <t>MARKET</t>
        </is>
      </c>
    </row>
    <row r="93">
      <c r="A93" s="11" t="inlineStr">
        <is>
          <t>2026-01-09</t>
        </is>
      </c>
      <c r="B93" s="11" t="inlineStr">
        <is>
          <t>LITE</t>
        </is>
      </c>
      <c r="C93" s="11" t="inlineStr">
        <is>
          <t>LUMENTUM HOLDINGS INC</t>
        </is>
      </c>
      <c r="D93" s="11" t="inlineStr">
        <is>
          <t>STK</t>
        </is>
      </c>
      <c r="E93" s="11" t="inlineStr">
        <is>
          <t>USD</t>
        </is>
      </c>
      <c r="F93" s="11" t="inlineStr">
        <is>
          <t>BUY</t>
        </is>
      </c>
      <c r="G93" s="11" t="n">
        <v>1</v>
      </c>
      <c r="H93" s="12" t="n">
        <v>348.55</v>
      </c>
      <c r="I93" s="13" t="n">
        <v>0.34915725</v>
      </c>
      <c r="J93" s="13" t="n">
        <v>348.55</v>
      </c>
      <c r="K93" s="13" t="n">
        <v>0</v>
      </c>
      <c r="L93" s="11" t="inlineStr">
        <is>
          <t>NASDAQ</t>
        </is>
      </c>
      <c r="M93" s="11" t="inlineStr">
        <is>
          <t>LIMIT</t>
        </is>
      </c>
    </row>
    <row r="94">
      <c r="A94" s="8" t="inlineStr">
        <is>
          <t>2026-01-09</t>
        </is>
      </c>
      <c r="B94" s="8" t="inlineStr">
        <is>
          <t>USD.AED</t>
        </is>
      </c>
      <c r="C94" s="8" t="inlineStr">
        <is>
          <t>United States dollar</t>
        </is>
      </c>
      <c r="D94" s="8" t="inlineStr">
        <is>
          <t>CASH</t>
        </is>
      </c>
      <c r="E94" s="8" t="inlineStr">
        <is>
          <t>AED</t>
        </is>
      </c>
      <c r="F94" s="8" t="inlineStr">
        <is>
          <t>BUY</t>
        </is>
      </c>
      <c r="G94" s="8" t="n">
        <v>264</v>
      </c>
      <c r="H94" s="9" t="n">
        <v>3.67425</v>
      </c>
      <c r="I94" s="10" t="n">
        <v>0</v>
      </c>
      <c r="J94" s="10" t="n">
        <v>-970.002</v>
      </c>
      <c r="K94" s="10" t="n">
        <v>0</v>
      </c>
      <c r="L94" s="8" t="inlineStr">
        <is>
          <t>FXCONV</t>
        </is>
      </c>
      <c r="M94" s="8" t="inlineStr">
        <is>
          <t>MARKET</t>
        </is>
      </c>
    </row>
    <row r="95">
      <c r="A95" s="11" t="inlineStr">
        <is>
          <t>2026-01-09</t>
        </is>
      </c>
      <c r="B95" s="11" t="inlineStr">
        <is>
          <t>COHR</t>
        </is>
      </c>
      <c r="C95" s="11" t="inlineStr">
        <is>
          <t>COHERENT CORP</t>
        </is>
      </c>
      <c r="D95" s="11" t="inlineStr">
        <is>
          <t>STK</t>
        </is>
      </c>
      <c r="E95" s="11" t="inlineStr">
        <is>
          <t>USD</t>
        </is>
      </c>
      <c r="F95" s="11" t="inlineStr">
        <is>
          <t>BUY</t>
        </is>
      </c>
      <c r="G95" s="11" t="n">
        <v>0.5</v>
      </c>
      <c r="H95" s="12" t="n">
        <v>175.69</v>
      </c>
      <c r="I95" s="13" t="n">
        <v>0.35035725</v>
      </c>
      <c r="J95" s="13" t="n">
        <v>87.845</v>
      </c>
      <c r="K95" s="13" t="n">
        <v>0</v>
      </c>
      <c r="L95" s="11" t="inlineStr">
        <is>
          <t>IBKR</t>
        </is>
      </c>
      <c r="M95" s="11" t="inlineStr">
        <is>
          <t>LIMIT</t>
        </is>
      </c>
    </row>
    <row r="96">
      <c r="A96" s="8" t="inlineStr">
        <is>
          <t>2026-01-09</t>
        </is>
      </c>
      <c r="B96" s="8" t="inlineStr">
        <is>
          <t>COHR</t>
        </is>
      </c>
      <c r="C96" s="8" t="inlineStr">
        <is>
          <t>COHERENT CORP</t>
        </is>
      </c>
      <c r="D96" s="8" t="inlineStr">
        <is>
          <t>STK</t>
        </is>
      </c>
      <c r="E96" s="8" t="inlineStr">
        <is>
          <t>USD</t>
        </is>
      </c>
      <c r="F96" s="8" t="inlineStr">
        <is>
          <t>BUY</t>
        </is>
      </c>
      <c r="G96" s="8" t="n">
        <v>1</v>
      </c>
      <c r="H96" s="9" t="n">
        <v>175.6861</v>
      </c>
      <c r="I96" s="10" t="n">
        <v>0.0002</v>
      </c>
      <c r="J96" s="10" t="n">
        <v>175.6861</v>
      </c>
      <c r="K96" s="10" t="n">
        <v>0</v>
      </c>
      <c r="L96" s="8" t="inlineStr">
        <is>
          <t>DARK</t>
        </is>
      </c>
      <c r="M96" s="8" t="inlineStr">
        <is>
          <t>LIMIT</t>
        </is>
      </c>
    </row>
    <row r="97">
      <c r="A97" s="11" t="inlineStr">
        <is>
          <t>2026-01-09</t>
        </is>
      </c>
      <c r="B97" s="11" t="inlineStr">
        <is>
          <t>URNM</t>
        </is>
      </c>
      <c r="C97" s="11" t="inlineStr">
        <is>
          <t>SPROTT URANIUM MINERS ETF</t>
        </is>
      </c>
      <c r="D97" s="11" t="inlineStr">
        <is>
          <t>STK</t>
        </is>
      </c>
      <c r="E97" s="11" t="inlineStr">
        <is>
          <t>USD</t>
        </is>
      </c>
      <c r="F97" s="11" t="inlineStr">
        <is>
          <t>SELL</t>
        </is>
      </c>
      <c r="G97" s="11" t="n">
        <v>0.5</v>
      </c>
      <c r="H97" s="12" t="n">
        <v>63.34</v>
      </c>
      <c r="I97" s="13" t="n">
        <v>0.0001975</v>
      </c>
      <c r="J97" s="13" t="n">
        <v>31.67</v>
      </c>
      <c r="K97" s="13" t="n">
        <v>-1.077885</v>
      </c>
      <c r="L97" s="11" t="inlineStr">
        <is>
          <t>IBKR</t>
        </is>
      </c>
      <c r="M97" s="11" t="inlineStr">
        <is>
          <t>LIMIT</t>
        </is>
      </c>
    </row>
    <row r="98">
      <c r="A98" s="8" t="inlineStr">
        <is>
          <t>2026-01-13</t>
        </is>
      </c>
      <c r="B98" s="8" t="inlineStr">
        <is>
          <t>META</t>
        </is>
      </c>
      <c r="C98" s="8" t="inlineStr">
        <is>
          <t>META PLATFORMS INC-CLASS A</t>
        </is>
      </c>
      <c r="D98" s="8" t="inlineStr">
        <is>
          <t>STK</t>
        </is>
      </c>
      <c r="E98" s="8" t="inlineStr">
        <is>
          <t>USD</t>
        </is>
      </c>
      <c r="F98" s="8" t="inlineStr">
        <is>
          <t>SELL</t>
        </is>
      </c>
      <c r="G98" s="8" t="n">
        <v>1</v>
      </c>
      <c r="H98" s="9" t="n">
        <v>627.95</v>
      </c>
      <c r="I98" s="10" t="n">
        <v>0.35065225</v>
      </c>
      <c r="J98" s="10" t="n">
        <v>627.95</v>
      </c>
      <c r="K98" s="10" t="n">
        <v>-6.839831</v>
      </c>
      <c r="L98" s="8" t="inlineStr">
        <is>
          <t>IBKRATS</t>
        </is>
      </c>
      <c r="M98" s="8" t="inlineStr">
        <is>
          <t>LIMIT</t>
        </is>
      </c>
    </row>
    <row r="99">
      <c r="A99" s="11" t="inlineStr">
        <is>
          <t>2026-01-13</t>
        </is>
      </c>
      <c r="B99" s="11" t="inlineStr">
        <is>
          <t>GLD</t>
        </is>
      </c>
      <c r="C99" s="11" t="inlineStr">
        <is>
          <t>SPDR GOLD SHARES</t>
        </is>
      </c>
      <c r="D99" s="11" t="inlineStr">
        <is>
          <t>STK</t>
        </is>
      </c>
      <c r="E99" s="11" t="inlineStr">
        <is>
          <t>USD</t>
        </is>
      </c>
      <c r="F99" s="11" t="inlineStr">
        <is>
          <t>BUY</t>
        </is>
      </c>
      <c r="G99" s="11" t="n">
        <v>1</v>
      </c>
      <c r="H99" s="12" t="n">
        <v>422.15</v>
      </c>
      <c r="I99" s="13" t="n">
        <v>0.35045725</v>
      </c>
      <c r="J99" s="13" t="n">
        <v>422.15</v>
      </c>
      <c r="K99" s="13" t="n">
        <v>0</v>
      </c>
      <c r="L99" s="11" t="inlineStr">
        <is>
          <t>DARK</t>
        </is>
      </c>
      <c r="M99" s="11" t="inlineStr">
        <is>
          <t>LIMIT</t>
        </is>
      </c>
    </row>
    <row r="100">
      <c r="A100" s="8" t="inlineStr">
        <is>
          <t>2026-01-13</t>
        </is>
      </c>
      <c r="B100" s="8" t="inlineStr">
        <is>
          <t>PPLT</t>
        </is>
      </c>
      <c r="C100" s="8" t="inlineStr">
        <is>
          <t>ABRDN PHYSICAL PLATINUM SHRS</t>
        </is>
      </c>
      <c r="D100" s="8" t="inlineStr">
        <is>
          <t>STK</t>
        </is>
      </c>
      <c r="E100" s="8" t="inlineStr">
        <is>
          <t>USD</t>
        </is>
      </c>
      <c r="F100" s="8" t="inlineStr">
        <is>
          <t>BUY</t>
        </is>
      </c>
      <c r="G100" s="8" t="n">
        <v>1</v>
      </c>
      <c r="H100" s="9" t="n">
        <v>214.01</v>
      </c>
      <c r="I100" s="10" t="n">
        <v>0.35045725</v>
      </c>
      <c r="J100" s="10" t="n">
        <v>214.01</v>
      </c>
      <c r="K100" s="10" t="n">
        <v>0</v>
      </c>
      <c r="L100" s="8" t="inlineStr">
        <is>
          <t>IBKRATS</t>
        </is>
      </c>
      <c r="M100" s="8" t="inlineStr">
        <is>
          <t>LIMIT</t>
        </is>
      </c>
    </row>
    <row r="101">
      <c r="A101" s="11" t="inlineStr">
        <is>
          <t>2026-01-14</t>
        </is>
      </c>
      <c r="B101" s="11" t="inlineStr">
        <is>
          <t>GDX</t>
        </is>
      </c>
      <c r="C101" s="11" t="inlineStr">
        <is>
          <t>VANECK GOLD MINERS ETF</t>
        </is>
      </c>
      <c r="D101" s="11" t="inlineStr">
        <is>
          <t>STK</t>
        </is>
      </c>
      <c r="E101" s="11" t="inlineStr">
        <is>
          <t>USD</t>
        </is>
      </c>
      <c r="F101" s="11" t="inlineStr">
        <is>
          <t>SELL</t>
        </is>
      </c>
      <c r="G101" s="11" t="n">
        <v>6</v>
      </c>
      <c r="H101" s="12" t="n">
        <v>96.872</v>
      </c>
      <c r="I101" s="13" t="n">
        <v>0.35262725</v>
      </c>
      <c r="J101" s="13" t="n">
        <v>581.232</v>
      </c>
      <c r="K101" s="13" t="n">
        <v>269.984071</v>
      </c>
      <c r="L101" s="11" t="inlineStr">
        <is>
          <t>DARK</t>
        </is>
      </c>
      <c r="M101" s="11" t="inlineStr">
        <is>
          <t>LIMIT</t>
        </is>
      </c>
    </row>
    <row r="102">
      <c r="A102" s="8" t="inlineStr">
        <is>
          <t>2026-01-14</t>
        </is>
      </c>
      <c r="B102" s="8" t="inlineStr">
        <is>
          <t>SIL</t>
        </is>
      </c>
      <c r="C102" s="8" t="inlineStr">
        <is>
          <t>GLOBAL X SILVER MINERS ETF</t>
        </is>
      </c>
      <c r="D102" s="8" t="inlineStr">
        <is>
          <t>STK</t>
        </is>
      </c>
      <c r="E102" s="8" t="inlineStr">
        <is>
          <t>USD</t>
        </is>
      </c>
      <c r="F102" s="8" t="inlineStr">
        <is>
          <t>SELL</t>
        </is>
      </c>
      <c r="G102" s="8" t="n">
        <v>5</v>
      </c>
      <c r="H102" s="9" t="n">
        <v>94.7914</v>
      </c>
      <c r="I102" s="10" t="n">
        <v>0.35223225</v>
      </c>
      <c r="J102" s="10" t="n">
        <v>473.957</v>
      </c>
      <c r="K102" s="10" t="n">
        <v>226.414733</v>
      </c>
      <c r="L102" s="8" t="inlineStr">
        <is>
          <t>DARK</t>
        </is>
      </c>
      <c r="M102" s="8" t="inlineStr">
        <is>
          <t>LIMIT</t>
        </is>
      </c>
    </row>
    <row r="103">
      <c r="A103" s="11" t="inlineStr">
        <is>
          <t>2026-01-14</t>
        </is>
      </c>
      <c r="B103" s="11" t="inlineStr">
        <is>
          <t>GDXJ</t>
        </is>
      </c>
      <c r="C103" s="11" t="inlineStr">
        <is>
          <t>VANECK JUNIOR GOLD MINERS</t>
        </is>
      </c>
      <c r="D103" s="11" t="inlineStr">
        <is>
          <t>STK</t>
        </is>
      </c>
      <c r="E103" s="11" t="inlineStr">
        <is>
          <t>USD</t>
        </is>
      </c>
      <c r="F103" s="11" t="inlineStr">
        <is>
          <t>SELL</t>
        </is>
      </c>
      <c r="G103" s="11" t="n">
        <v>1</v>
      </c>
      <c r="H103" s="12" t="n">
        <v>127.21</v>
      </c>
      <c r="I103" s="13" t="n">
        <v>0.34905225</v>
      </c>
      <c r="J103" s="13" t="n">
        <v>127.21</v>
      </c>
      <c r="K103" s="13" t="n">
        <v>31.050069</v>
      </c>
      <c r="L103" s="11" t="inlineStr">
        <is>
          <t>ARCA</t>
        </is>
      </c>
      <c r="M103" s="11" t="inlineStr">
        <is>
          <t>LIMIT</t>
        </is>
      </c>
    </row>
    <row r="104">
      <c r="A104" s="8" t="inlineStr">
        <is>
          <t>2026-01-14</t>
        </is>
      </c>
      <c r="B104" s="8" t="inlineStr">
        <is>
          <t>PPLT</t>
        </is>
      </c>
      <c r="C104" s="8" t="inlineStr">
        <is>
          <t>ABRDN PHYSICAL PLATINUM SHRS</t>
        </is>
      </c>
      <c r="D104" s="8" t="inlineStr">
        <is>
          <t>STK</t>
        </is>
      </c>
      <c r="E104" s="8" t="inlineStr">
        <is>
          <t>USD</t>
        </is>
      </c>
      <c r="F104" s="8" t="inlineStr">
        <is>
          <t>BUY</t>
        </is>
      </c>
      <c r="G104" s="8" t="n">
        <v>2</v>
      </c>
      <c r="H104" s="9" t="n">
        <v>218.53</v>
      </c>
      <c r="I104" s="10" t="n">
        <v>0.34745725</v>
      </c>
      <c r="J104" s="10" t="n">
        <v>437.06</v>
      </c>
      <c r="K104" s="10" t="n">
        <v>0</v>
      </c>
      <c r="L104" s="8" t="inlineStr">
        <is>
          <t>ARCA</t>
        </is>
      </c>
      <c r="M104" s="8" t="inlineStr">
        <is>
          <t>LIMIT</t>
        </is>
      </c>
    </row>
    <row r="105">
      <c r="A105" s="11" t="inlineStr">
        <is>
          <t>2026-01-14</t>
        </is>
      </c>
      <c r="B105" s="11" t="inlineStr">
        <is>
          <t>GDXJ</t>
        </is>
      </c>
      <c r="C105" s="11" t="inlineStr">
        <is>
          <t>VANECK JUNIOR GOLD MINERS</t>
        </is>
      </c>
      <c r="D105" s="11" t="inlineStr">
        <is>
          <t>STK</t>
        </is>
      </c>
      <c r="E105" s="11" t="inlineStr">
        <is>
          <t>USD</t>
        </is>
      </c>
      <c r="F105" s="11" t="inlineStr">
        <is>
          <t>SELL</t>
        </is>
      </c>
      <c r="G105" s="11" t="n">
        <v>0.5</v>
      </c>
      <c r="H105" s="12" t="n">
        <v>127.21</v>
      </c>
      <c r="I105" s="13" t="n">
        <v>0.0001975</v>
      </c>
      <c r="J105" s="13" t="n">
        <v>63.605</v>
      </c>
      <c r="K105" s="13" t="n">
        <v>15.874291</v>
      </c>
      <c r="L105" s="11" t="inlineStr">
        <is>
          <t>IBKR</t>
        </is>
      </c>
      <c r="M105" s="11" t="inlineStr">
        <is>
          <t>LIMIT</t>
        </is>
      </c>
    </row>
    <row r="106">
      <c r="A106" s="8" t="inlineStr">
        <is>
          <t>2026-01-14</t>
        </is>
      </c>
      <c r="B106" s="8" t="inlineStr">
        <is>
          <t>CPER</t>
        </is>
      </c>
      <c r="C106" s="8" t="inlineStr">
        <is>
          <t>UNITED STATES COPPER INDEX</t>
        </is>
      </c>
      <c r="D106" s="8" t="inlineStr">
        <is>
          <t>STK</t>
        </is>
      </c>
      <c r="E106" s="8" t="inlineStr">
        <is>
          <t>USD</t>
        </is>
      </c>
      <c r="F106" s="8" t="inlineStr">
        <is>
          <t>BUY</t>
        </is>
      </c>
      <c r="G106" s="8" t="n">
        <v>5</v>
      </c>
      <c r="H106" s="9" t="n">
        <v>37.38</v>
      </c>
      <c r="I106" s="10" t="n">
        <v>0.34325725</v>
      </c>
      <c r="J106" s="10" t="n">
        <v>186.9</v>
      </c>
      <c r="K106" s="10" t="n">
        <v>0</v>
      </c>
      <c r="L106" s="8" t="inlineStr">
        <is>
          <t>ARCA</t>
        </is>
      </c>
      <c r="M106" s="8" t="inlineStr">
        <is>
          <t>LIMIT</t>
        </is>
      </c>
    </row>
    <row r="107">
      <c r="A107" s="11" t="inlineStr">
        <is>
          <t>2026-01-14</t>
        </is>
      </c>
      <c r="B107" s="11" t="inlineStr">
        <is>
          <t>SLV</t>
        </is>
      </c>
      <c r="C107" s="11" t="inlineStr">
        <is>
          <t>ISHARES SILVER TRUST</t>
        </is>
      </c>
      <c r="D107" s="11" t="inlineStr">
        <is>
          <t>STK</t>
        </is>
      </c>
      <c r="E107" s="11" t="inlineStr">
        <is>
          <t>USD</t>
        </is>
      </c>
      <c r="F107" s="11" t="inlineStr">
        <is>
          <t>BUY</t>
        </is>
      </c>
      <c r="G107" s="11" t="n">
        <v>7</v>
      </c>
      <c r="H107" s="12" t="n">
        <v>83.8993</v>
      </c>
      <c r="I107" s="13" t="n">
        <v>0.35165725</v>
      </c>
      <c r="J107" s="13" t="n">
        <v>587.2951</v>
      </c>
      <c r="K107" s="13" t="n">
        <v>0</v>
      </c>
      <c r="L107" s="11" t="inlineStr">
        <is>
          <t>DARK</t>
        </is>
      </c>
      <c r="M107" s="11" t="inlineStr">
        <is>
          <t>LIMIT</t>
        </is>
      </c>
    </row>
    <row r="108">
      <c r="A108" s="8" t="inlineStr">
        <is>
          <t>2026-01-14</t>
        </is>
      </c>
      <c r="B108" s="8" t="inlineStr">
        <is>
          <t>URA</t>
        </is>
      </c>
      <c r="C108" s="8" t="inlineStr">
        <is>
          <t>GLOBAL X URANIUM ETF</t>
        </is>
      </c>
      <c r="D108" s="8" t="inlineStr">
        <is>
          <t>STK</t>
        </is>
      </c>
      <c r="E108" s="8" t="inlineStr">
        <is>
          <t>USD</t>
        </is>
      </c>
      <c r="F108" s="8" t="inlineStr">
        <is>
          <t>BUY</t>
        </is>
      </c>
      <c r="G108" s="8" t="n">
        <v>1</v>
      </c>
      <c r="H108" s="9" t="n">
        <v>52.874</v>
      </c>
      <c r="I108" s="10" t="n">
        <v>0.35045725</v>
      </c>
      <c r="J108" s="10" t="n">
        <v>52.874</v>
      </c>
      <c r="K108" s="10" t="n">
        <v>0</v>
      </c>
      <c r="L108" s="8" t="inlineStr">
        <is>
          <t>DARK</t>
        </is>
      </c>
      <c r="M108" s="8" t="inlineStr">
        <is>
          <t>LIMIT</t>
        </is>
      </c>
    </row>
    <row r="109">
      <c r="A109" s="11" t="inlineStr">
        <is>
          <t>2026-01-22</t>
        </is>
      </c>
      <c r="B109" s="11" t="inlineStr">
        <is>
          <t>INTC</t>
        </is>
      </c>
      <c r="C109" s="11" t="inlineStr">
        <is>
          <t>INTEL CORP</t>
        </is>
      </c>
      <c r="D109" s="11" t="inlineStr">
        <is>
          <t>STK</t>
        </is>
      </c>
      <c r="E109" s="11" t="inlineStr">
        <is>
          <t>USD</t>
        </is>
      </c>
      <c r="F109" s="11" t="inlineStr">
        <is>
          <t>SELL</t>
        </is>
      </c>
      <c r="G109" s="11" t="n">
        <v>2</v>
      </c>
      <c r="H109" s="12" t="n">
        <v>54.2507</v>
      </c>
      <c r="I109" s="13" t="n">
        <v>0.35104725</v>
      </c>
      <c r="J109" s="13" t="n">
        <v>108.5014</v>
      </c>
      <c r="K109" s="13" t="n">
        <v>25.564824</v>
      </c>
      <c r="L109" s="11" t="inlineStr">
        <is>
          <t>DARK</t>
        </is>
      </c>
      <c r="M109" s="11" t="inlineStr">
        <is>
          <t>LIMIT</t>
        </is>
      </c>
    </row>
    <row r="110">
      <c r="A110" s="8" t="inlineStr">
        <is>
          <t>2026-01-22</t>
        </is>
      </c>
      <c r="B110" s="8" t="inlineStr">
        <is>
          <t>USD.AED</t>
        </is>
      </c>
      <c r="C110" s="8" t="inlineStr">
        <is>
          <t>United States dollar</t>
        </is>
      </c>
      <c r="D110" s="8" t="inlineStr">
        <is>
          <t>CASH</t>
        </is>
      </c>
      <c r="E110" s="8" t="inlineStr">
        <is>
          <t>AED</t>
        </is>
      </c>
      <c r="F110" s="8" t="inlineStr">
        <is>
          <t>BUY</t>
        </is>
      </c>
      <c r="G110" s="8" t="n">
        <v>9</v>
      </c>
      <c r="H110" s="9" t="n">
        <v>3.67423</v>
      </c>
      <c r="I110" s="10" t="n">
        <v>0</v>
      </c>
      <c r="J110" s="10" t="n">
        <v>-33.06807</v>
      </c>
      <c r="K110" s="10" t="n">
        <v>0</v>
      </c>
      <c r="L110" s="8" t="inlineStr">
        <is>
          <t>FXCONV</t>
        </is>
      </c>
      <c r="M110" s="8" t="inlineStr">
        <is>
          <t>MARKET</t>
        </is>
      </c>
    </row>
    <row r="111">
      <c r="A111" s="11" t="inlineStr">
        <is>
          <t>2026-01-22</t>
        </is>
      </c>
      <c r="B111" s="11" t="inlineStr">
        <is>
          <t>PPLT</t>
        </is>
      </c>
      <c r="C111" s="11" t="inlineStr">
        <is>
          <t>ABRDN PHYSICAL PLATINUM SHRS</t>
        </is>
      </c>
      <c r="D111" s="11" t="inlineStr">
        <is>
          <t>STK</t>
        </is>
      </c>
      <c r="E111" s="11" t="inlineStr">
        <is>
          <t>USD</t>
        </is>
      </c>
      <c r="F111" s="11" t="inlineStr">
        <is>
          <t>BUY</t>
        </is>
      </c>
      <c r="G111" s="11" t="n">
        <v>0.5</v>
      </c>
      <c r="H111" s="12" t="n">
        <v>237.29</v>
      </c>
      <c r="I111" s="13" t="n">
        <v>0.35035725</v>
      </c>
      <c r="J111" s="13" t="n">
        <v>118.645</v>
      </c>
      <c r="K111" s="13" t="n">
        <v>0</v>
      </c>
      <c r="L111" s="11" t="inlineStr">
        <is>
          <t>IBKR</t>
        </is>
      </c>
      <c r="M111" s="11" t="inlineStr">
        <is>
          <t>MARKET</t>
        </is>
      </c>
    </row>
    <row r="112">
      <c r="A112" s="8" t="inlineStr">
        <is>
          <t>2026-01-23</t>
        </is>
      </c>
      <c r="B112" s="8" t="inlineStr">
        <is>
          <t>INTC</t>
        </is>
      </c>
      <c r="C112" s="8" t="inlineStr">
        <is>
          <t>INTEL CORP</t>
        </is>
      </c>
      <c r="D112" s="8" t="inlineStr">
        <is>
          <t>STK</t>
        </is>
      </c>
      <c r="E112" s="8" t="inlineStr">
        <is>
          <t>USD</t>
        </is>
      </c>
      <c r="F112" s="8" t="inlineStr">
        <is>
          <t>SELL</t>
        </is>
      </c>
      <c r="G112" s="8" t="n">
        <v>2</v>
      </c>
      <c r="H112" s="9" t="n">
        <v>44.635</v>
      </c>
      <c r="I112" s="10" t="n">
        <v>0.35104725</v>
      </c>
      <c r="J112" s="10" t="n">
        <v>89.27</v>
      </c>
      <c r="K112" s="10" t="n">
        <v>6.333425</v>
      </c>
      <c r="L112" s="8" t="inlineStr">
        <is>
          <t>IBKRATS</t>
        </is>
      </c>
      <c r="M112" s="8" t="inlineStr">
        <is>
          <t>LIMIT</t>
        </is>
      </c>
    </row>
    <row r="113">
      <c r="A113" s="11" t="inlineStr">
        <is>
          <t>2026-01-26</t>
        </is>
      </c>
      <c r="B113" s="11" t="inlineStr">
        <is>
          <t>SLV</t>
        </is>
      </c>
      <c r="C113" s="11" t="inlineStr">
        <is>
          <t>ISHARES SILVER TRUST</t>
        </is>
      </c>
      <c r="D113" s="11" t="inlineStr">
        <is>
          <t>STK</t>
        </is>
      </c>
      <c r="E113" s="11" t="inlineStr">
        <is>
          <t>USD</t>
        </is>
      </c>
      <c r="F113" s="11" t="inlineStr">
        <is>
          <t>SELL</t>
        </is>
      </c>
      <c r="G113" s="11" t="n">
        <v>5</v>
      </c>
      <c r="H113" s="12" t="n">
        <v>99.7</v>
      </c>
      <c r="I113" s="13" t="n">
        <v>0.34423225</v>
      </c>
      <c r="J113" s="13" t="n">
        <v>498.5</v>
      </c>
      <c r="K113" s="13" t="n">
        <v>275.236072</v>
      </c>
      <c r="L113" s="11" t="inlineStr">
        <is>
          <t>ARCA</t>
        </is>
      </c>
      <c r="M113" s="11" t="inlineStr">
        <is>
          <t>LIMIT</t>
        </is>
      </c>
    </row>
    <row r="114">
      <c r="A114" s="8" t="inlineStr">
        <is>
          <t>2026-01-27</t>
        </is>
      </c>
      <c r="B114" s="8" t="inlineStr">
        <is>
          <t>COPX</t>
        </is>
      </c>
      <c r="C114" s="8" t="inlineStr">
        <is>
          <t>GLOBAL X COPPER MINERS ETF</t>
        </is>
      </c>
      <c r="D114" s="8" t="inlineStr">
        <is>
          <t>STK</t>
        </is>
      </c>
      <c r="E114" s="8" t="inlineStr">
        <is>
          <t>USD</t>
        </is>
      </c>
      <c r="F114" s="8" t="inlineStr">
        <is>
          <t>SELL</t>
        </is>
      </c>
      <c r="G114" s="8" t="n">
        <v>4</v>
      </c>
      <c r="H114" s="9" t="n">
        <v>89.23</v>
      </c>
      <c r="I114" s="10" t="n">
        <v>0.34543725</v>
      </c>
      <c r="J114" s="10" t="n">
        <v>356.92</v>
      </c>
      <c r="K114" s="10" t="n">
        <v>184.573476</v>
      </c>
      <c r="L114" s="8" t="inlineStr">
        <is>
          <t>ARCA</t>
        </is>
      </c>
      <c r="M114" s="8" t="inlineStr">
        <is>
          <t>LIMIT</t>
        </is>
      </c>
    </row>
    <row r="115">
      <c r="A115" s="11" t="inlineStr">
        <is>
          <t>2026-01-27</t>
        </is>
      </c>
      <c r="B115" s="11" t="inlineStr">
        <is>
          <t>SLV</t>
        </is>
      </c>
      <c r="C115" s="11" t="inlineStr">
        <is>
          <t>ISHARES SILVER TRUST</t>
        </is>
      </c>
      <c r="D115" s="11" t="inlineStr">
        <is>
          <t>STK</t>
        </is>
      </c>
      <c r="E115" s="11" t="inlineStr">
        <is>
          <t>USD</t>
        </is>
      </c>
      <c r="F115" s="11" t="inlineStr">
        <is>
          <t>SELL</t>
        </is>
      </c>
      <c r="G115" s="11" t="n">
        <v>4</v>
      </c>
      <c r="H115" s="12" t="n">
        <v>97.52</v>
      </c>
      <c r="I115" s="13" t="n">
        <v>0.34543725</v>
      </c>
      <c r="J115" s="13" t="n">
        <v>390.08</v>
      </c>
      <c r="K115" s="13" t="n">
        <v>147.708433</v>
      </c>
      <c r="L115" s="11" t="inlineStr">
        <is>
          <t>ARCA</t>
        </is>
      </c>
      <c r="M115" s="11" t="inlineStr">
        <is>
          <t>LIMIT</t>
        </is>
      </c>
    </row>
    <row r="116">
      <c r="A116" s="8" t="inlineStr">
        <is>
          <t>2026-01-28</t>
        </is>
      </c>
      <c r="B116" s="8" t="inlineStr">
        <is>
          <t>GLD</t>
        </is>
      </c>
      <c r="C116" s="8" t="inlineStr">
        <is>
          <t>SPDR GOLD SHARES</t>
        </is>
      </c>
      <c r="D116" s="8" t="inlineStr">
        <is>
          <t>STK</t>
        </is>
      </c>
      <c r="E116" s="8" t="inlineStr">
        <is>
          <t>USD</t>
        </is>
      </c>
      <c r="F116" s="8" t="inlineStr">
        <is>
          <t>BUY</t>
        </is>
      </c>
      <c r="G116" s="8" t="n">
        <v>1</v>
      </c>
      <c r="H116" s="9" t="n">
        <v>487.3</v>
      </c>
      <c r="I116" s="10" t="n">
        <v>0.35045725</v>
      </c>
      <c r="J116" s="10" t="n">
        <v>487.3</v>
      </c>
      <c r="K116" s="10" t="n">
        <v>0</v>
      </c>
      <c r="L116" s="8" t="inlineStr">
        <is>
          <t>IBKRATS</t>
        </is>
      </c>
      <c r="M116" s="8" t="inlineStr">
        <is>
          <t>LIMIT</t>
        </is>
      </c>
    </row>
    <row r="117">
      <c r="A117" s="11" t="inlineStr">
        <is>
          <t>2026-01-28</t>
        </is>
      </c>
      <c r="B117" s="11" t="inlineStr">
        <is>
          <t>GLD</t>
        </is>
      </c>
      <c r="C117" s="11" t="inlineStr">
        <is>
          <t>SPDR GOLD SHARES</t>
        </is>
      </c>
      <c r="D117" s="11" t="inlineStr">
        <is>
          <t>STK</t>
        </is>
      </c>
      <c r="E117" s="11" t="inlineStr">
        <is>
          <t>USD</t>
        </is>
      </c>
      <c r="F117" s="11" t="inlineStr">
        <is>
          <t>BUY</t>
        </is>
      </c>
      <c r="G117" s="11" t="n">
        <v>0.15</v>
      </c>
      <c r="H117" s="12" t="n">
        <v>487.3</v>
      </c>
      <c r="I117" s="13" t="n">
        <v>3e-05</v>
      </c>
      <c r="J117" s="13" t="n">
        <v>73.095</v>
      </c>
      <c r="K117" s="13" t="n">
        <v>0</v>
      </c>
      <c r="L117" s="11" t="inlineStr">
        <is>
          <t>IBKR</t>
        </is>
      </c>
      <c r="M117" s="11" t="inlineStr">
        <is>
          <t>LIMIT</t>
        </is>
      </c>
    </row>
    <row r="118">
      <c r="A118" s="8" t="inlineStr">
        <is>
          <t>2026-01-28</t>
        </is>
      </c>
      <c r="B118" s="8" t="inlineStr">
        <is>
          <t>URNM</t>
        </is>
      </c>
      <c r="C118" s="8" t="inlineStr">
        <is>
          <t>SPROTT URANIUM MINERS ETF</t>
        </is>
      </c>
      <c r="D118" s="8" t="inlineStr">
        <is>
          <t>STK</t>
        </is>
      </c>
      <c r="E118" s="8" t="inlineStr">
        <is>
          <t>USD</t>
        </is>
      </c>
      <c r="F118" s="8" t="inlineStr">
        <is>
          <t>BUY</t>
        </is>
      </c>
      <c r="G118" s="8" t="n">
        <v>5</v>
      </c>
      <c r="H118" s="9" t="n">
        <v>83.13</v>
      </c>
      <c r="I118" s="10" t="n">
        <v>0.34325725</v>
      </c>
      <c r="J118" s="10" t="n">
        <v>415.65</v>
      </c>
      <c r="K118" s="10" t="n">
        <v>0</v>
      </c>
      <c r="L118" s="8" t="inlineStr">
        <is>
          <t>ARCA</t>
        </is>
      </c>
      <c r="M118" s="8" t="inlineStr">
        <is>
          <t>LIMIT</t>
        </is>
      </c>
    </row>
    <row r="119">
      <c r="A119" s="11" t="inlineStr">
        <is>
          <t>2026-02-02</t>
        </is>
      </c>
      <c r="B119" s="11" t="inlineStr">
        <is>
          <t>PALL</t>
        </is>
      </c>
      <c r="C119" s="11" t="inlineStr">
        <is>
          <t>ABRDN PHYSICAL PALLADIUM SHS</t>
        </is>
      </c>
      <c r="D119" s="11" t="inlineStr">
        <is>
          <t>STK</t>
        </is>
      </c>
      <c r="E119" s="11" t="inlineStr">
        <is>
          <t>USD</t>
        </is>
      </c>
      <c r="F119" s="11" t="inlineStr">
        <is>
          <t>SELL</t>
        </is>
      </c>
      <c r="G119" s="11" t="n">
        <v>3</v>
      </c>
      <c r="H119" s="12" t="n">
        <v>154.38</v>
      </c>
      <c r="I119" s="13" t="n">
        <v>0.34664225</v>
      </c>
      <c r="J119" s="13" t="n">
        <v>463.14</v>
      </c>
      <c r="K119" s="13" t="n">
        <v>130.627435</v>
      </c>
      <c r="L119" s="11" t="inlineStr">
        <is>
          <t>ARCA</t>
        </is>
      </c>
      <c r="M119" s="11" t="inlineStr">
        <is>
          <t>LIMIT</t>
        </is>
      </c>
    </row>
    <row r="120">
      <c r="A120" s="8" t="inlineStr">
        <is>
          <t>2026-02-03</t>
        </is>
      </c>
      <c r="B120" s="8" t="inlineStr">
        <is>
          <t>URA</t>
        </is>
      </c>
      <c r="C120" s="8" t="inlineStr">
        <is>
          <t>GLOBAL X URANIUM ETF</t>
        </is>
      </c>
      <c r="D120" s="8" t="inlineStr">
        <is>
          <t>STK</t>
        </is>
      </c>
      <c r="E120" s="8" t="inlineStr">
        <is>
          <t>USD</t>
        </is>
      </c>
      <c r="F120" s="8" t="inlineStr">
        <is>
          <t>SELL</t>
        </is>
      </c>
      <c r="G120" s="8" t="n">
        <v>6</v>
      </c>
      <c r="H120" s="9" t="n">
        <v>55.21</v>
      </c>
      <c r="I120" s="10" t="n">
        <v>0.34302725</v>
      </c>
      <c r="J120" s="10" t="n">
        <v>331.26</v>
      </c>
      <c r="K120" s="10" t="n">
        <v>30.649259</v>
      </c>
      <c r="L120" s="8" t="inlineStr">
        <is>
          <t>ARCA</t>
        </is>
      </c>
      <c r="M120" s="8" t="inlineStr">
        <is>
          <t>LIMIT</t>
        </is>
      </c>
    </row>
    <row r="121">
      <c r="A121" s="11" t="inlineStr">
        <is>
          <t>2026-02-04</t>
        </is>
      </c>
      <c r="B121" s="11" t="inlineStr">
        <is>
          <t>LITE</t>
        </is>
      </c>
      <c r="C121" s="11" t="inlineStr">
        <is>
          <t>LUMENTUM HOLDINGS INC</t>
        </is>
      </c>
      <c r="D121" s="11" t="inlineStr">
        <is>
          <t>STK</t>
        </is>
      </c>
      <c r="E121" s="11" t="inlineStr">
        <is>
          <t>USD</t>
        </is>
      </c>
      <c r="F121" s="11" t="inlineStr">
        <is>
          <t>SELL</t>
        </is>
      </c>
      <c r="G121" s="11" t="n">
        <v>1</v>
      </c>
      <c r="H121" s="12" t="n">
        <v>454.26</v>
      </c>
      <c r="I121" s="13" t="n">
        <v>0.34935225</v>
      </c>
      <c r="J121" s="13" t="n">
        <v>454.26</v>
      </c>
      <c r="K121" s="13" t="n">
        <v>105.011491</v>
      </c>
      <c r="L121" s="11" t="inlineStr">
        <is>
          <t>NASDAQ</t>
        </is>
      </c>
      <c r="M121" s="11" t="inlineStr">
        <is>
          <t>LIMIT</t>
        </is>
      </c>
    </row>
    <row r="122">
      <c r="A122" s="8" t="inlineStr">
        <is>
          <t>2026-02-04</t>
        </is>
      </c>
      <c r="B122" s="8" t="inlineStr">
        <is>
          <t>URNM</t>
        </is>
      </c>
      <c r="C122" s="8" t="inlineStr">
        <is>
          <t>SPROTT URANIUM MINERS ETF</t>
        </is>
      </c>
      <c r="D122" s="8" t="inlineStr">
        <is>
          <t>STK</t>
        </is>
      </c>
      <c r="E122" s="8" t="inlineStr">
        <is>
          <t>USD</t>
        </is>
      </c>
      <c r="F122" s="8" t="inlineStr">
        <is>
          <t>SELL</t>
        </is>
      </c>
      <c r="G122" s="8" t="n">
        <v>5</v>
      </c>
      <c r="H122" s="9" t="n">
        <v>68.36</v>
      </c>
      <c r="I122" s="10" t="n">
        <v>0.35223225</v>
      </c>
      <c r="J122" s="10" t="n">
        <v>341.8</v>
      </c>
      <c r="K122" s="10" t="n">
        <v>-74.545489</v>
      </c>
      <c r="L122" s="8" t="inlineStr">
        <is>
          <t>DARK</t>
        </is>
      </c>
      <c r="M122" s="8" t="inlineStr">
        <is>
          <t>LIMIT</t>
        </is>
      </c>
    </row>
    <row r="123">
      <c r="A123" s="11" t="inlineStr">
        <is>
          <t>2026-02-04</t>
        </is>
      </c>
      <c r="B123" s="11" t="inlineStr">
        <is>
          <t>COPX</t>
        </is>
      </c>
      <c r="C123" s="11" t="inlineStr">
        <is>
          <t>GLOBAL X COPPER MINERS ETF</t>
        </is>
      </c>
      <c r="D123" s="11" t="inlineStr">
        <is>
          <t>STK</t>
        </is>
      </c>
      <c r="E123" s="11" t="inlineStr">
        <is>
          <t>USD</t>
        </is>
      </c>
      <c r="F123" s="11" t="inlineStr">
        <is>
          <t>SELL</t>
        </is>
      </c>
      <c r="G123" s="11" t="n">
        <v>3</v>
      </c>
      <c r="H123" s="12" t="n">
        <v>85.02</v>
      </c>
      <c r="I123" s="13" t="n">
        <v>0.34604225</v>
      </c>
      <c r="J123" s="13" t="n">
        <v>255.06</v>
      </c>
      <c r="K123" s="13" t="n">
        <v>119.913129</v>
      </c>
      <c r="L123" s="11" t="inlineStr">
        <is>
          <t>NASDAQ</t>
        </is>
      </c>
      <c r="M123" s="11" t="inlineStr">
        <is>
          <t>LIMIT</t>
        </is>
      </c>
    </row>
    <row r="124">
      <c r="A124" s="8" t="inlineStr">
        <is>
          <t>2026-02-06</t>
        </is>
      </c>
      <c r="B124" s="8" t="inlineStr">
        <is>
          <t>BABA</t>
        </is>
      </c>
      <c r="C124" s="8" t="inlineStr">
        <is>
          <t>ALIBABA GROUP HOLDING-SP ADR</t>
        </is>
      </c>
      <c r="D124" s="8" t="inlineStr">
        <is>
          <t>STK</t>
        </is>
      </c>
      <c r="E124" s="8" t="inlineStr">
        <is>
          <t>USD</t>
        </is>
      </c>
      <c r="F124" s="8" t="inlineStr">
        <is>
          <t>BUY</t>
        </is>
      </c>
      <c r="G124" s="8" t="n">
        <v>1</v>
      </c>
      <c r="H124" s="9" t="n">
        <v>161.97</v>
      </c>
      <c r="I124" s="10" t="n">
        <v>0.35045725</v>
      </c>
      <c r="J124" s="10" t="n">
        <v>161.97</v>
      </c>
      <c r="K124" s="10" t="n">
        <v>0</v>
      </c>
      <c r="L124" s="8" t="inlineStr">
        <is>
          <t>DARK</t>
        </is>
      </c>
      <c r="M124" s="8" t="inlineStr">
        <is>
          <t>LIMIT</t>
        </is>
      </c>
    </row>
    <row r="125">
      <c r="A125" s="11" t="inlineStr">
        <is>
          <t>2026-02-09</t>
        </is>
      </c>
      <c r="B125" s="11" t="inlineStr">
        <is>
          <t>SLV</t>
        </is>
      </c>
      <c r="C125" s="11" t="inlineStr">
        <is>
          <t>ISHARES SILVER TRUST</t>
        </is>
      </c>
      <c r="D125" s="11" t="inlineStr">
        <is>
          <t>STK</t>
        </is>
      </c>
      <c r="E125" s="11" t="inlineStr">
        <is>
          <t>USD</t>
        </is>
      </c>
      <c r="F125" s="11" t="inlineStr">
        <is>
          <t>BUY</t>
        </is>
      </c>
      <c r="G125" s="11" t="n">
        <v>5</v>
      </c>
      <c r="H125" s="12" t="n">
        <v>75.13930000000001</v>
      </c>
      <c r="I125" s="13" t="n">
        <v>0.35125725</v>
      </c>
      <c r="J125" s="13" t="n">
        <v>375.6965</v>
      </c>
      <c r="K125" s="13" t="n">
        <v>0</v>
      </c>
      <c r="L125" s="11" t="inlineStr">
        <is>
          <t>DARK</t>
        </is>
      </c>
      <c r="M125" s="11" t="inlineStr">
        <is>
          <t>MARKET</t>
        </is>
      </c>
    </row>
    <row r="126">
      <c r="A126" s="8" t="inlineStr">
        <is>
          <t>2026-02-09</t>
        </is>
      </c>
      <c r="B126" s="8" t="inlineStr">
        <is>
          <t>GLD</t>
        </is>
      </c>
      <c r="C126" s="8" t="inlineStr">
        <is>
          <t>SPDR GOLD SHARES</t>
        </is>
      </c>
      <c r="D126" s="8" t="inlineStr">
        <is>
          <t>STK</t>
        </is>
      </c>
      <c r="E126" s="8" t="inlineStr">
        <is>
          <t>USD</t>
        </is>
      </c>
      <c r="F126" s="8" t="inlineStr">
        <is>
          <t>BUY</t>
        </is>
      </c>
      <c r="G126" s="8" t="n">
        <v>2</v>
      </c>
      <c r="H126" s="9" t="n">
        <v>464.85</v>
      </c>
      <c r="I126" s="10" t="n">
        <v>0.34745725</v>
      </c>
      <c r="J126" s="10" t="n">
        <v>929.7</v>
      </c>
      <c r="K126" s="10" t="n">
        <v>0</v>
      </c>
      <c r="L126" s="8" t="inlineStr">
        <is>
          <t>ARCA</t>
        </is>
      </c>
      <c r="M126" s="8" t="inlineStr">
        <is>
          <t>LIMIT</t>
        </is>
      </c>
    </row>
    <row r="127">
      <c r="A127" s="11" t="inlineStr">
        <is>
          <t>2026-02-10</t>
        </is>
      </c>
      <c r="B127" s="11" t="inlineStr">
        <is>
          <t>COHR</t>
        </is>
      </c>
      <c r="C127" s="11" t="inlineStr">
        <is>
          <t>COHERENT CORP</t>
        </is>
      </c>
      <c r="D127" s="11" t="inlineStr">
        <is>
          <t>STK</t>
        </is>
      </c>
      <c r="E127" s="11" t="inlineStr">
        <is>
          <t>USD</t>
        </is>
      </c>
      <c r="F127" s="11" t="inlineStr">
        <is>
          <t>SELL</t>
        </is>
      </c>
      <c r="G127" s="11" t="n">
        <v>1</v>
      </c>
      <c r="H127" s="12" t="n">
        <v>229.4</v>
      </c>
      <c r="I127" s="13" t="n">
        <v>0.34745225</v>
      </c>
      <c r="J127" s="13" t="n">
        <v>229.4</v>
      </c>
      <c r="K127" s="13" t="n">
        <v>53.014041</v>
      </c>
      <c r="L127" s="11" t="inlineStr">
        <is>
          <t>NYSE</t>
        </is>
      </c>
      <c r="M127" s="11" t="inlineStr">
        <is>
          <t>LIMIT</t>
        </is>
      </c>
    </row>
    <row r="128">
      <c r="A128" s="8" t="inlineStr">
        <is>
          <t>2026-02-10</t>
        </is>
      </c>
      <c r="B128" s="8" t="inlineStr">
        <is>
          <t>COHR</t>
        </is>
      </c>
      <c r="C128" s="8" t="inlineStr">
        <is>
          <t>COHERENT CORP</t>
        </is>
      </c>
      <c r="D128" s="8" t="inlineStr">
        <is>
          <t>STK</t>
        </is>
      </c>
      <c r="E128" s="8" t="inlineStr">
        <is>
          <t>USD</t>
        </is>
      </c>
      <c r="F128" s="8" t="inlineStr">
        <is>
          <t>SELL</t>
        </is>
      </c>
      <c r="G128" s="8" t="n">
        <v>0.5</v>
      </c>
      <c r="H128" s="9" t="n">
        <v>229.19</v>
      </c>
      <c r="I128" s="10" t="n">
        <v>0.35045475</v>
      </c>
      <c r="J128" s="10" t="n">
        <v>114.595</v>
      </c>
      <c r="K128" s="10" t="n">
        <v>26.401395</v>
      </c>
      <c r="L128" s="8" t="inlineStr">
        <is>
          <t>IBKR</t>
        </is>
      </c>
      <c r="M128" s="8" t="inlineStr">
        <is>
          <t>LIMIT</t>
        </is>
      </c>
    </row>
    <row r="129">
      <c r="A129" s="11" t="inlineStr">
        <is>
          <t>2026-02-11</t>
        </is>
      </c>
      <c r="B129" s="11" t="inlineStr">
        <is>
          <t>BE</t>
        </is>
      </c>
      <c r="C129" s="11" t="inlineStr">
        <is>
          <t>BLOOM ENERGY CORP- A</t>
        </is>
      </c>
      <c r="D129" s="11" t="inlineStr">
        <is>
          <t>STK</t>
        </is>
      </c>
      <c r="E129" s="11" t="inlineStr">
        <is>
          <t>USD</t>
        </is>
      </c>
      <c r="F129" s="11" t="inlineStr">
        <is>
          <t>BUY</t>
        </is>
      </c>
      <c r="G129" s="11" t="n">
        <v>2</v>
      </c>
      <c r="H129" s="12" t="n">
        <v>151.05</v>
      </c>
      <c r="I129" s="13" t="n">
        <v>0.34425725</v>
      </c>
      <c r="J129" s="13" t="n">
        <v>302.1</v>
      </c>
      <c r="K129" s="13" t="n">
        <v>0</v>
      </c>
      <c r="L129" s="11" t="inlineStr">
        <is>
          <t>NYSE</t>
        </is>
      </c>
      <c r="M129" s="11" t="inlineStr">
        <is>
          <t>LIMIT</t>
        </is>
      </c>
    </row>
    <row r="130">
      <c r="A130" s="8" t="inlineStr">
        <is>
          <t>2026-02-13</t>
        </is>
      </c>
      <c r="B130" s="8" t="inlineStr">
        <is>
          <t>BE</t>
        </is>
      </c>
      <c r="C130" s="8" t="inlineStr">
        <is>
          <t>BLOOM ENERGY CORP- A</t>
        </is>
      </c>
      <c r="D130" s="8" t="inlineStr">
        <is>
          <t>STK</t>
        </is>
      </c>
      <c r="E130" s="8" t="inlineStr">
        <is>
          <t>USD</t>
        </is>
      </c>
      <c r="F130" s="8" t="inlineStr">
        <is>
          <t>SELL</t>
        </is>
      </c>
      <c r="G130" s="8" t="n">
        <v>2</v>
      </c>
      <c r="H130" s="9" t="n">
        <v>141.33</v>
      </c>
      <c r="I130" s="10" t="n">
        <v>0.35104725</v>
      </c>
      <c r="J130" s="10" t="n">
        <v>282.66</v>
      </c>
      <c r="K130" s="10" t="n">
        <v>-20.135304</v>
      </c>
      <c r="L130" s="8" t="inlineStr">
        <is>
          <t>IBKRATS</t>
        </is>
      </c>
      <c r="M130" s="8" t="inlineStr">
        <is>
          <t>LIMIT</t>
        </is>
      </c>
    </row>
    <row r="131">
      <c r="A131" s="11" t="inlineStr">
        <is>
          <t>2026-02-17</t>
        </is>
      </c>
      <c r="B131" s="11" t="inlineStr">
        <is>
          <t>TLT</t>
        </is>
      </c>
      <c r="C131" s="11" t="inlineStr">
        <is>
          <t>ISHARES 20+ YEAR TREASURY BD</t>
        </is>
      </c>
      <c r="D131" s="11" t="inlineStr">
        <is>
          <t>STK</t>
        </is>
      </c>
      <c r="E131" s="11" t="inlineStr">
        <is>
          <t>USD</t>
        </is>
      </c>
      <c r="F131" s="11" t="inlineStr">
        <is>
          <t>BUY</t>
        </is>
      </c>
      <c r="G131" s="11" t="n">
        <v>5</v>
      </c>
      <c r="H131" s="12" t="n">
        <v>89.9388</v>
      </c>
      <c r="I131" s="13" t="n">
        <v>0.35125725</v>
      </c>
      <c r="J131" s="13" t="n">
        <v>449.694</v>
      </c>
      <c r="K131" s="13" t="n">
        <v>0</v>
      </c>
      <c r="L131" s="11" t="inlineStr">
        <is>
          <t>DARK</t>
        </is>
      </c>
      <c r="M131" s="11" t="inlineStr">
        <is>
          <t>LIMIT</t>
        </is>
      </c>
    </row>
    <row r="132">
      <c r="A132" s="8" t="inlineStr">
        <is>
          <t>2026-02-17</t>
        </is>
      </c>
      <c r="B132" s="8" t="inlineStr">
        <is>
          <t>SIL</t>
        </is>
      </c>
      <c r="C132" s="8" t="inlineStr">
        <is>
          <t>GLOBAL X SILVER MINERS ETF</t>
        </is>
      </c>
      <c r="D132" s="8" t="inlineStr">
        <is>
          <t>STK</t>
        </is>
      </c>
      <c r="E132" s="8" t="inlineStr">
        <is>
          <t>USD</t>
        </is>
      </c>
      <c r="F132" s="8" t="inlineStr">
        <is>
          <t>SELL</t>
        </is>
      </c>
      <c r="G132" s="8" t="n">
        <v>4</v>
      </c>
      <c r="H132" s="9" t="n">
        <v>94.6717</v>
      </c>
      <c r="I132" s="10" t="n">
        <v>0.35183725</v>
      </c>
      <c r="J132" s="10" t="n">
        <v>378.6868</v>
      </c>
      <c r="K132" s="10" t="n">
        <v>182.665274</v>
      </c>
      <c r="L132" s="8" t="inlineStr">
        <is>
          <t>DARK</t>
        </is>
      </c>
      <c r="M132" s="8" t="inlineStr">
        <is>
          <t>LIMIT</t>
        </is>
      </c>
    </row>
    <row r="133">
      <c r="A133" s="11" t="inlineStr">
        <is>
          <t>2026-02-17</t>
        </is>
      </c>
      <c r="B133" s="11" t="inlineStr">
        <is>
          <t>GDX</t>
        </is>
      </c>
      <c r="C133" s="11" t="inlineStr">
        <is>
          <t>VANECK GOLD MINERS ETF</t>
        </is>
      </c>
      <c r="D133" s="11" t="inlineStr">
        <is>
          <t>STK</t>
        </is>
      </c>
      <c r="E133" s="11" t="inlineStr">
        <is>
          <t>USD</t>
        </is>
      </c>
      <c r="F133" s="11" t="inlineStr">
        <is>
          <t>SELL</t>
        </is>
      </c>
      <c r="G133" s="11" t="n">
        <v>6</v>
      </c>
      <c r="H133" s="12" t="n">
        <v>97.9525</v>
      </c>
      <c r="I133" s="13" t="n">
        <v>0.35262725</v>
      </c>
      <c r="J133" s="13" t="n">
        <v>587.715</v>
      </c>
      <c r="K133" s="13" t="n">
        <v>222.150507</v>
      </c>
      <c r="L133" s="11" t="inlineStr">
        <is>
          <t>DARK</t>
        </is>
      </c>
      <c r="M133" s="11" t="inlineStr">
        <is>
          <t>LIMIT</t>
        </is>
      </c>
    </row>
    <row r="134">
      <c r="A134" s="8" t="inlineStr">
        <is>
          <t>2026-02-17</t>
        </is>
      </c>
      <c r="B134" s="8" t="inlineStr">
        <is>
          <t>COPX</t>
        </is>
      </c>
      <c r="C134" s="8" t="inlineStr">
        <is>
          <t>GLOBAL X COPPER MINERS ETF</t>
        </is>
      </c>
      <c r="D134" s="8" t="inlineStr">
        <is>
          <t>STK</t>
        </is>
      </c>
      <c r="E134" s="8" t="inlineStr">
        <is>
          <t>USD</t>
        </is>
      </c>
      <c r="F134" s="8" t="inlineStr">
        <is>
          <t>SELL</t>
        </is>
      </c>
      <c r="G134" s="8" t="n">
        <v>2</v>
      </c>
      <c r="H134" s="9" t="n">
        <v>82.48</v>
      </c>
      <c r="I134" s="10" t="n">
        <v>0.34784725</v>
      </c>
      <c r="J134" s="10" t="n">
        <v>164.96</v>
      </c>
      <c r="K134" s="10" t="n">
        <v>72.81159599999999</v>
      </c>
      <c r="L134" s="8" t="inlineStr">
        <is>
          <t>ARCA</t>
        </is>
      </c>
      <c r="M134" s="8" t="inlineStr">
        <is>
          <t>LIMIT</t>
        </is>
      </c>
    </row>
    <row r="135">
      <c r="A135" s="11" t="inlineStr">
        <is>
          <t>2026-02-17</t>
        </is>
      </c>
      <c r="B135" s="11" t="inlineStr">
        <is>
          <t>COPX</t>
        </is>
      </c>
      <c r="C135" s="11" t="inlineStr">
        <is>
          <t>GLOBAL X COPPER MINERS ETF</t>
        </is>
      </c>
      <c r="D135" s="11" t="inlineStr">
        <is>
          <t>STK</t>
        </is>
      </c>
      <c r="E135" s="11" t="inlineStr">
        <is>
          <t>USD</t>
        </is>
      </c>
      <c r="F135" s="11" t="inlineStr">
        <is>
          <t>SELL</t>
        </is>
      </c>
      <c r="G135" s="11" t="n">
        <v>1</v>
      </c>
      <c r="H135" s="12" t="n">
        <v>82.48</v>
      </c>
      <c r="I135" s="13" t="n">
        <v>-0.001205</v>
      </c>
      <c r="J135" s="13" t="n">
        <v>82.48</v>
      </c>
      <c r="K135" s="13" t="n">
        <v>36.580927</v>
      </c>
      <c r="L135" s="11" t="inlineStr">
        <is>
          <t>ARCA</t>
        </is>
      </c>
      <c r="M135" s="11" t="inlineStr">
        <is>
          <t>LIMIT</t>
        </is>
      </c>
    </row>
    <row r="136">
      <c r="A136" s="8" t="inlineStr">
        <is>
          <t>2026-02-17</t>
        </is>
      </c>
      <c r="B136" s="8" t="inlineStr">
        <is>
          <t>TLT</t>
        </is>
      </c>
      <c r="C136" s="8" t="inlineStr">
        <is>
          <t>ISHARES 20+ YEAR TREASURY BD</t>
        </is>
      </c>
      <c r="D136" s="8" t="inlineStr">
        <is>
          <t>STK</t>
        </is>
      </c>
      <c r="E136" s="8" t="inlineStr">
        <is>
          <t>USD</t>
        </is>
      </c>
      <c r="F136" s="8" t="inlineStr">
        <is>
          <t>SELL</t>
        </is>
      </c>
      <c r="G136" s="8" t="n">
        <v>5</v>
      </c>
      <c r="H136" s="9" t="n">
        <v>89.84999999999999</v>
      </c>
      <c r="I136" s="10" t="n">
        <v>0.35223225</v>
      </c>
      <c r="J136" s="10" t="n">
        <v>449.25</v>
      </c>
      <c r="K136" s="10" t="n">
        <v>-1.14749</v>
      </c>
      <c r="L136" s="8" t="inlineStr">
        <is>
          <t>IBKRATS</t>
        </is>
      </c>
      <c r="M136" s="8" t="inlineStr">
        <is>
          <t>LIMIT</t>
        </is>
      </c>
    </row>
    <row r="137">
      <c r="A137" s="11" t="inlineStr">
        <is>
          <t>2026-02-17</t>
        </is>
      </c>
      <c r="B137" s="11" t="inlineStr">
        <is>
          <t>ZROZ</t>
        </is>
      </c>
      <c r="C137" s="11" t="inlineStr">
        <is>
          <t>PIMCO 25+ YR ZERO CPN US TIF</t>
        </is>
      </c>
      <c r="D137" s="11" t="inlineStr">
        <is>
          <t>STK</t>
        </is>
      </c>
      <c r="E137" s="11" t="inlineStr">
        <is>
          <t>USD</t>
        </is>
      </c>
      <c r="F137" s="11" t="inlineStr">
        <is>
          <t>BUY</t>
        </is>
      </c>
      <c r="G137" s="11" t="n">
        <v>5</v>
      </c>
      <c r="H137" s="12" t="n">
        <v>67.5093</v>
      </c>
      <c r="I137" s="13" t="n">
        <v>0.35125725</v>
      </c>
      <c r="J137" s="13" t="n">
        <v>337.5465</v>
      </c>
      <c r="K137" s="13" t="n">
        <v>0</v>
      </c>
      <c r="L137" s="11" t="inlineStr">
        <is>
          <t>DARK</t>
        </is>
      </c>
      <c r="M137" s="11" t="inlineStr">
        <is>
          <t>MARKET</t>
        </is>
      </c>
    </row>
    <row r="138">
      <c r="A138" s="8" t="inlineStr">
        <is>
          <t>2026-02-18</t>
        </is>
      </c>
      <c r="B138" s="8" t="inlineStr">
        <is>
          <t>EWZ</t>
        </is>
      </c>
      <c r="C138" s="8" t="inlineStr">
        <is>
          <t>ISHARES MSCI BRAZIL ETF</t>
        </is>
      </c>
      <c r="D138" s="8" t="inlineStr">
        <is>
          <t>STK</t>
        </is>
      </c>
      <c r="E138" s="8" t="inlineStr">
        <is>
          <t>USD</t>
        </is>
      </c>
      <c r="F138" s="8" t="inlineStr">
        <is>
          <t>BUY</t>
        </is>
      </c>
      <c r="G138" s="8" t="n">
        <v>10</v>
      </c>
      <c r="H138" s="9" t="n">
        <v>38.12</v>
      </c>
      <c r="I138" s="10" t="n">
        <v>0.35225725</v>
      </c>
      <c r="J138" s="10" t="n">
        <v>381.2</v>
      </c>
      <c r="K138" s="10" t="n">
        <v>0</v>
      </c>
      <c r="L138" s="8" t="inlineStr">
        <is>
          <t>IBKRATS</t>
        </is>
      </c>
      <c r="M138" s="8" t="inlineStr">
        <is>
          <t>LIMIT</t>
        </is>
      </c>
    </row>
    <row r="139">
      <c r="A139" s="11" t="inlineStr">
        <is>
          <t>2026-02-19</t>
        </is>
      </c>
      <c r="B139" s="11" t="inlineStr">
        <is>
          <t>SOXS</t>
        </is>
      </c>
      <c r="C139" s="11" t="inlineStr"/>
      <c r="D139" s="11" t="inlineStr">
        <is>
          <t>STK</t>
        </is>
      </c>
      <c r="E139" s="11" t="inlineStr">
        <is>
          <t>USD</t>
        </is>
      </c>
      <c r="F139" s="11" t="inlineStr">
        <is>
          <t>BUY</t>
        </is>
      </c>
      <c r="G139" s="11" t="n">
        <v>250</v>
      </c>
      <c r="H139" s="12" t="n">
        <v>1.7693</v>
      </c>
      <c r="I139" s="13" t="n">
        <v>0.92564313</v>
      </c>
      <c r="J139" s="13" t="n">
        <v>442.325</v>
      </c>
      <c r="K139" s="13" t="n">
        <v>0</v>
      </c>
      <c r="L139" s="11" t="inlineStr">
        <is>
          <t>DARK</t>
        </is>
      </c>
      <c r="M139" s="11" t="inlineStr">
        <is>
          <t>LIMIT</t>
        </is>
      </c>
    </row>
    <row r="140">
      <c r="A140" s="8" t="inlineStr">
        <is>
          <t>2026-02-23</t>
        </is>
      </c>
      <c r="B140" s="8" t="inlineStr">
        <is>
          <t>PPLT</t>
        </is>
      </c>
      <c r="C140" s="8" t="inlineStr">
        <is>
          <t>ABRDN PHYSICAL PLATINUM SHRS</t>
        </is>
      </c>
      <c r="D140" s="8" t="inlineStr">
        <is>
          <t>STK</t>
        </is>
      </c>
      <c r="E140" s="8" t="inlineStr">
        <is>
          <t>USD</t>
        </is>
      </c>
      <c r="F140" s="8" t="inlineStr">
        <is>
          <t>SELL</t>
        </is>
      </c>
      <c r="G140" s="8" t="n">
        <v>6</v>
      </c>
      <c r="H140" s="9" t="n">
        <v>193.14</v>
      </c>
      <c r="I140" s="10" t="n">
        <v>0.34302725</v>
      </c>
      <c r="J140" s="10" t="n">
        <v>1158.84</v>
      </c>
      <c r="K140" s="10" t="n">
        <v>127.39268</v>
      </c>
      <c r="L140" s="8" t="inlineStr">
        <is>
          <t>ARCA</t>
        </is>
      </c>
      <c r="M140" s="8" t="inlineStr">
        <is>
          <t>LIMIT</t>
        </is>
      </c>
    </row>
    <row r="141">
      <c r="A141" s="11" t="inlineStr">
        <is>
          <t>2026-02-23</t>
        </is>
      </c>
      <c r="B141" s="11" t="inlineStr">
        <is>
          <t>PPLT</t>
        </is>
      </c>
      <c r="C141" s="11" t="inlineStr">
        <is>
          <t>ABRDN PHYSICAL PLATINUM SHRS</t>
        </is>
      </c>
      <c r="D141" s="11" t="inlineStr">
        <is>
          <t>STK</t>
        </is>
      </c>
      <c r="E141" s="11" t="inlineStr">
        <is>
          <t>USD</t>
        </is>
      </c>
      <c r="F141" s="11" t="inlineStr">
        <is>
          <t>SELL</t>
        </is>
      </c>
      <c r="G141" s="11" t="n">
        <v>0.5</v>
      </c>
      <c r="H141" s="12" t="n">
        <v>193.14</v>
      </c>
      <c r="I141" s="13" t="n">
        <v>0.0001975</v>
      </c>
      <c r="J141" s="13" t="n">
        <v>96.56999999999999</v>
      </c>
      <c r="K141" s="13" t="n">
        <v>-22.425555</v>
      </c>
      <c r="L141" s="11" t="inlineStr">
        <is>
          <t>IBKR</t>
        </is>
      </c>
      <c r="M141" s="11" t="inlineStr">
        <is>
          <t>LIMIT</t>
        </is>
      </c>
    </row>
    <row r="142">
      <c r="A142" s="8" t="inlineStr">
        <is>
          <t>2026-02-24</t>
        </is>
      </c>
      <c r="B142" s="8" t="inlineStr">
        <is>
          <t>SOXS</t>
        </is>
      </c>
      <c r="C142" s="8" t="inlineStr"/>
      <c r="D142" s="8" t="inlineStr">
        <is>
          <t>STK</t>
        </is>
      </c>
      <c r="E142" s="8" t="inlineStr">
        <is>
          <t>USD</t>
        </is>
      </c>
      <c r="F142" s="8" t="inlineStr">
        <is>
          <t>SELL</t>
        </is>
      </c>
      <c r="G142" s="8" t="n">
        <v>250</v>
      </c>
      <c r="H142" s="9" t="n">
        <v>1.62</v>
      </c>
      <c r="I142" s="10" t="n">
        <v>0.97439312</v>
      </c>
      <c r="J142" s="10" t="n">
        <v>405</v>
      </c>
      <c r="K142" s="10" t="n">
        <v>-39.225036</v>
      </c>
      <c r="L142" s="8" t="inlineStr">
        <is>
          <t>IBKRATS</t>
        </is>
      </c>
      <c r="M142" s="8" t="inlineStr">
        <is>
          <t>STOP_LIMIT</t>
        </is>
      </c>
    </row>
    <row r="143">
      <c r="A143" s="11" t="inlineStr">
        <is>
          <t>2026-03-02</t>
        </is>
      </c>
      <c r="B143" s="11" t="inlineStr">
        <is>
          <t>BABA</t>
        </is>
      </c>
      <c r="C143" s="11" t="inlineStr">
        <is>
          <t>ALIBABA GROUP HOLDING-SP ADR</t>
        </is>
      </c>
      <c r="D143" s="11" t="inlineStr">
        <is>
          <t>STK</t>
        </is>
      </c>
      <c r="E143" s="11" t="inlineStr">
        <is>
          <t>USD</t>
        </is>
      </c>
      <c r="F143" s="11" t="inlineStr">
        <is>
          <t>SELL</t>
        </is>
      </c>
      <c r="G143" s="11" t="n">
        <v>4</v>
      </c>
      <c r="H143" s="12" t="n">
        <v>140.45</v>
      </c>
      <c r="I143" s="13" t="n">
        <v>0.33903725</v>
      </c>
      <c r="J143" s="13" t="n">
        <v>561.8</v>
      </c>
      <c r="K143" s="13" t="n">
        <v>-97.278674</v>
      </c>
      <c r="L143" s="11" t="inlineStr">
        <is>
          <t>NYSE</t>
        </is>
      </c>
      <c r="M143" s="11" t="inlineStr">
        <is>
          <t>LIMIT</t>
        </is>
      </c>
    </row>
    <row r="144">
      <c r="A144" s="8" t="inlineStr">
        <is>
          <t>2026-03-02</t>
        </is>
      </c>
      <c r="B144" s="8" t="inlineStr">
        <is>
          <t>FAZ</t>
        </is>
      </c>
      <c r="C144" s="8" t="inlineStr">
        <is>
          <t>DIREX DLY FIN BEA 3X ETF-USD</t>
        </is>
      </c>
      <c r="D144" s="8" t="inlineStr">
        <is>
          <t>STK</t>
        </is>
      </c>
      <c r="E144" s="8" t="inlineStr">
        <is>
          <t>USD</t>
        </is>
      </c>
      <c r="F144" s="8" t="inlineStr">
        <is>
          <t>BUY</t>
        </is>
      </c>
      <c r="G144" s="8" t="n">
        <v>10</v>
      </c>
      <c r="H144" s="9" t="n">
        <v>45.6</v>
      </c>
      <c r="I144" s="10" t="n">
        <v>0.33625725</v>
      </c>
      <c r="J144" s="10" t="n">
        <v>456</v>
      </c>
      <c r="K144" s="10" t="n">
        <v>0</v>
      </c>
      <c r="L144" s="8" t="inlineStr">
        <is>
          <t>ARCA</t>
        </is>
      </c>
      <c r="M144" s="8" t="inlineStr">
        <is>
          <t>LIMIT</t>
        </is>
      </c>
    </row>
    <row r="145">
      <c r="A145" s="11" t="inlineStr">
        <is>
          <t>2026-03-02</t>
        </is>
      </c>
      <c r="B145" s="11" t="inlineStr">
        <is>
          <t>DFEN</t>
        </is>
      </c>
      <c r="C145" s="11" t="inlineStr">
        <is>
          <t>DIREX DLY AEROS &amp; DF BL3X-UI</t>
        </is>
      </c>
      <c r="D145" s="11" t="inlineStr">
        <is>
          <t>STK</t>
        </is>
      </c>
      <c r="E145" s="11" t="inlineStr">
        <is>
          <t>USD</t>
        </is>
      </c>
      <c r="F145" s="11" t="inlineStr">
        <is>
          <t>BUY</t>
        </is>
      </c>
      <c r="G145" s="11" t="n">
        <v>4</v>
      </c>
      <c r="H145" s="12" t="n">
        <v>96.93000000000001</v>
      </c>
      <c r="I145" s="13" t="n">
        <v>0.35105725</v>
      </c>
      <c r="J145" s="13" t="n">
        <v>387.72</v>
      </c>
      <c r="K145" s="13" t="n">
        <v>0</v>
      </c>
      <c r="L145" s="11" t="inlineStr">
        <is>
          <t>IBKRATS</t>
        </is>
      </c>
      <c r="M145" s="11" t="inlineStr">
        <is>
          <t>LIMIT</t>
        </is>
      </c>
    </row>
    <row r="146">
      <c r="A146" s="8" t="inlineStr">
        <is>
          <t>2026-03-03</t>
        </is>
      </c>
      <c r="B146" s="8" t="inlineStr">
        <is>
          <t>DFEN</t>
        </is>
      </c>
      <c r="C146" s="8" t="inlineStr">
        <is>
          <t>DIREX DLY AEROS &amp; DF BL3X-UI</t>
        </is>
      </c>
      <c r="D146" s="8" t="inlineStr">
        <is>
          <t>STK</t>
        </is>
      </c>
      <c r="E146" s="8" t="inlineStr">
        <is>
          <t>USD</t>
        </is>
      </c>
      <c r="F146" s="8" t="inlineStr">
        <is>
          <t>SELL</t>
        </is>
      </c>
      <c r="G146" s="8" t="n">
        <v>4</v>
      </c>
      <c r="H146" s="9" t="n">
        <v>89.53</v>
      </c>
      <c r="I146" s="10" t="n">
        <v>0.34543725</v>
      </c>
      <c r="J146" s="10" t="n">
        <v>358.12</v>
      </c>
      <c r="K146" s="10" t="n">
        <v>-30.296494</v>
      </c>
      <c r="L146" s="8" t="inlineStr">
        <is>
          <t>ARCA</t>
        </is>
      </c>
      <c r="M146" s="8" t="inlineStr">
        <is>
          <t>LIMIT</t>
        </is>
      </c>
    </row>
    <row r="147">
      <c r="A147" s="11" t="inlineStr">
        <is>
          <t>2026-03-03</t>
        </is>
      </c>
      <c r="B147" s="11" t="inlineStr">
        <is>
          <t>ZROZ</t>
        </is>
      </c>
      <c r="C147" s="11" t="inlineStr">
        <is>
          <t>PIMCO 25+ YR ZERO CPN US TIF</t>
        </is>
      </c>
      <c r="D147" s="11" t="inlineStr">
        <is>
          <t>STK</t>
        </is>
      </c>
      <c r="E147" s="11" t="inlineStr">
        <is>
          <t>USD</t>
        </is>
      </c>
      <c r="F147" s="11" t="inlineStr">
        <is>
          <t>SELL</t>
        </is>
      </c>
      <c r="G147" s="11" t="n">
        <v>1</v>
      </c>
      <c r="H147" s="12" t="n">
        <v>66.98999999999999</v>
      </c>
      <c r="I147" s="13" t="n">
        <v>0.35065225</v>
      </c>
      <c r="J147" s="13" t="n">
        <v>66.98999999999999</v>
      </c>
      <c r="K147" s="13" t="n">
        <v>-0.940204</v>
      </c>
      <c r="L147" s="11" t="inlineStr">
        <is>
          <t>DARK</t>
        </is>
      </c>
      <c r="M147" s="11" t="inlineStr">
        <is>
          <t>LIMIT</t>
        </is>
      </c>
    </row>
    <row r="148">
      <c r="A148" s="8" t="inlineStr">
        <is>
          <t>2026-03-03</t>
        </is>
      </c>
      <c r="B148" s="8" t="inlineStr">
        <is>
          <t>ZROZ</t>
        </is>
      </c>
      <c r="C148" s="8" t="inlineStr">
        <is>
          <t>PIMCO 25+ YR ZERO CPN US TIF</t>
        </is>
      </c>
      <c r="D148" s="8" t="inlineStr">
        <is>
          <t>STK</t>
        </is>
      </c>
      <c r="E148" s="8" t="inlineStr">
        <is>
          <t>USD</t>
        </is>
      </c>
      <c r="F148" s="8" t="inlineStr">
        <is>
          <t>SELL</t>
        </is>
      </c>
      <c r="G148" s="8" t="n">
        <v>4</v>
      </c>
      <c r="H148" s="9" t="n">
        <v>66.98999999999999</v>
      </c>
      <c r="I148" s="10" t="n">
        <v>0.00158</v>
      </c>
      <c r="J148" s="10" t="n">
        <v>267.96</v>
      </c>
      <c r="K148" s="10" t="n">
        <v>-2.359786</v>
      </c>
      <c r="L148" s="8" t="inlineStr">
        <is>
          <t>DARK</t>
        </is>
      </c>
      <c r="M148" s="8" t="inlineStr">
        <is>
          <t>LIMIT</t>
        </is>
      </c>
    </row>
    <row r="149">
      <c r="A149" s="11" t="inlineStr">
        <is>
          <t>2026-03-03</t>
        </is>
      </c>
      <c r="B149" s="11" t="inlineStr">
        <is>
          <t>BOIL</t>
        </is>
      </c>
      <c r="C149" s="11" t="inlineStr"/>
      <c r="D149" s="11" t="inlineStr">
        <is>
          <t>STK</t>
        </is>
      </c>
      <c r="E149" s="11" t="inlineStr">
        <is>
          <t>USD</t>
        </is>
      </c>
      <c r="F149" s="11" t="inlineStr">
        <is>
          <t>BUY</t>
        </is>
      </c>
      <c r="G149" s="11" t="n">
        <v>20</v>
      </c>
      <c r="H149" s="12" t="n">
        <v>18.7593</v>
      </c>
      <c r="I149" s="13" t="n">
        <v>0.35425725</v>
      </c>
      <c r="J149" s="13" t="n">
        <v>375.186</v>
      </c>
      <c r="K149" s="13" t="n">
        <v>0</v>
      </c>
      <c r="L149" s="11" t="inlineStr">
        <is>
          <t>DARK</t>
        </is>
      </c>
      <c r="M149" s="11" t="inlineStr">
        <is>
          <t>LIMIT</t>
        </is>
      </c>
    </row>
    <row r="150">
      <c r="A150" s="8" t="inlineStr">
        <is>
          <t>2026-03-03</t>
        </is>
      </c>
      <c r="B150" s="8" t="inlineStr">
        <is>
          <t>EWZ</t>
        </is>
      </c>
      <c r="C150" s="8" t="inlineStr">
        <is>
          <t>ISHARES MSCI BRAZIL ETF</t>
        </is>
      </c>
      <c r="D150" s="8" t="inlineStr">
        <is>
          <t>STK</t>
        </is>
      </c>
      <c r="E150" s="8" t="inlineStr">
        <is>
          <t>USD</t>
        </is>
      </c>
      <c r="F150" s="8" t="inlineStr">
        <is>
          <t>SELL</t>
        </is>
      </c>
      <c r="G150" s="8" t="n">
        <v>10</v>
      </c>
      <c r="H150" s="9" t="n">
        <v>36.93</v>
      </c>
      <c r="I150" s="10" t="n">
        <v>0.35420725</v>
      </c>
      <c r="J150" s="10" t="n">
        <v>369.3</v>
      </c>
      <c r="K150" s="10" t="n">
        <v>-12.606464</v>
      </c>
      <c r="L150" s="8" t="inlineStr">
        <is>
          <t>IBKRATS</t>
        </is>
      </c>
      <c r="M150" s="8" t="inlineStr">
        <is>
          <t>LIMIT</t>
        </is>
      </c>
    </row>
    <row r="151">
      <c r="A151" s="11" t="inlineStr">
        <is>
          <t>2026-03-03</t>
        </is>
      </c>
      <c r="B151" s="11" t="inlineStr">
        <is>
          <t>SLV</t>
        </is>
      </c>
      <c r="C151" s="11" t="inlineStr">
        <is>
          <t>ISHARES SILVER TRUST</t>
        </is>
      </c>
      <c r="D151" s="11" t="inlineStr">
        <is>
          <t>STK</t>
        </is>
      </c>
      <c r="E151" s="11" t="inlineStr">
        <is>
          <t>USD</t>
        </is>
      </c>
      <c r="F151" s="11" t="inlineStr">
        <is>
          <t>SELL</t>
        </is>
      </c>
      <c r="G151" s="11" t="n">
        <v>15</v>
      </c>
      <c r="H151" s="12" t="n">
        <v>75.095</v>
      </c>
      <c r="I151" s="13" t="n">
        <v>0.35618225</v>
      </c>
      <c r="J151" s="13" t="n">
        <v>1126.425</v>
      </c>
      <c r="K151" s="13" t="n">
        <v>-32.881295</v>
      </c>
      <c r="L151" s="11" t="inlineStr">
        <is>
          <t>DARK</t>
        </is>
      </c>
      <c r="M151" s="11" t="inlineStr">
        <is>
          <t>LIMIT</t>
        </is>
      </c>
    </row>
    <row r="152">
      <c r="A152" s="8" t="inlineStr">
        <is>
          <t>2026-03-03</t>
        </is>
      </c>
      <c r="B152" s="8" t="inlineStr">
        <is>
          <t>GLD</t>
        </is>
      </c>
      <c r="C152" s="8" t="inlineStr">
        <is>
          <t>SPDR GOLD SHARES</t>
        </is>
      </c>
      <c r="D152" s="8" t="inlineStr">
        <is>
          <t>STK</t>
        </is>
      </c>
      <c r="E152" s="8" t="inlineStr">
        <is>
          <t>USD</t>
        </is>
      </c>
      <c r="F152" s="8" t="inlineStr">
        <is>
          <t>SELL</t>
        </is>
      </c>
      <c r="G152" s="8" t="n">
        <v>8</v>
      </c>
      <c r="H152" s="9" t="n">
        <v>471.31</v>
      </c>
      <c r="I152" s="10" t="n">
        <v>0.35341725</v>
      </c>
      <c r="J152" s="10" t="n">
        <v>3770.48</v>
      </c>
      <c r="K152" s="10" t="n">
        <v>315.010941</v>
      </c>
      <c r="L152" s="8" t="inlineStr">
        <is>
          <t>IBKRATS</t>
        </is>
      </c>
      <c r="M152" s="8" t="inlineStr">
        <is>
          <t>LIMIT</t>
        </is>
      </c>
    </row>
    <row r="153">
      <c r="A153" s="11" t="inlineStr">
        <is>
          <t>2026-03-03</t>
        </is>
      </c>
      <c r="B153" s="11" t="inlineStr">
        <is>
          <t>CPER</t>
        </is>
      </c>
      <c r="C153" s="11" t="inlineStr">
        <is>
          <t>UNITED STATES COPPER INDEX</t>
        </is>
      </c>
      <c r="D153" s="11" t="inlineStr">
        <is>
          <t>STK</t>
        </is>
      </c>
      <c r="E153" s="11" t="inlineStr">
        <is>
          <t>USD</t>
        </is>
      </c>
      <c r="F153" s="11" t="inlineStr">
        <is>
          <t>SELL</t>
        </is>
      </c>
      <c r="G153" s="11" t="n">
        <v>17</v>
      </c>
      <c r="H153" s="12" t="n">
        <v>35.71</v>
      </c>
      <c r="I153" s="13" t="n">
        <v>0.32977225</v>
      </c>
      <c r="J153" s="13" t="n">
        <v>607.0700000000001</v>
      </c>
      <c r="K153" s="13" t="n">
        <v>-11.295686</v>
      </c>
      <c r="L153" s="11" t="inlineStr">
        <is>
          <t>ARCA</t>
        </is>
      </c>
      <c r="M153" s="11" t="inlineStr">
        <is>
          <t>LIMIT</t>
        </is>
      </c>
    </row>
    <row r="154">
      <c r="A154" s="8" t="inlineStr">
        <is>
          <t>2026-03-05</t>
        </is>
      </c>
      <c r="B154" s="8" t="inlineStr">
        <is>
          <t>SOXS</t>
        </is>
      </c>
      <c r="C154" s="8" t="inlineStr">
        <is>
          <t>DIREX DAI SEMI BE 3X ETF-USD</t>
        </is>
      </c>
      <c r="D154" s="8" t="inlineStr">
        <is>
          <t>STK</t>
        </is>
      </c>
      <c r="E154" s="8" t="inlineStr">
        <is>
          <t>USD</t>
        </is>
      </c>
      <c r="F154" s="8" t="inlineStr">
        <is>
          <t>BUY</t>
        </is>
      </c>
      <c r="G154" s="8" t="n">
        <v>10</v>
      </c>
      <c r="H154" s="9" t="n">
        <v>41.8293</v>
      </c>
      <c r="I154" s="10" t="n">
        <v>0.35225725</v>
      </c>
      <c r="J154" s="10" t="n">
        <v>418.293</v>
      </c>
      <c r="K154" s="10" t="n">
        <v>0</v>
      </c>
      <c r="L154" s="8" t="inlineStr">
        <is>
          <t>DARK</t>
        </is>
      </c>
      <c r="M154" s="8" t="inlineStr">
        <is>
          <t>LIMIT</t>
        </is>
      </c>
    </row>
    <row r="155">
      <c r="A155" s="11" t="inlineStr">
        <is>
          <t>2026-03-09</t>
        </is>
      </c>
      <c r="B155" s="11" t="inlineStr">
        <is>
          <t>BOIL</t>
        </is>
      </c>
      <c r="C155" s="11" t="inlineStr"/>
      <c r="D155" s="11" t="inlineStr">
        <is>
          <t>STK</t>
        </is>
      </c>
      <c r="E155" s="11" t="inlineStr">
        <is>
          <t>USD</t>
        </is>
      </c>
      <c r="F155" s="11" t="inlineStr">
        <is>
          <t>SELL</t>
        </is>
      </c>
      <c r="G155" s="11" t="n">
        <v>20</v>
      </c>
      <c r="H155" s="12" t="n">
        <v>18.41</v>
      </c>
      <c r="I155" s="13" t="n">
        <v>0.32215725</v>
      </c>
      <c r="J155" s="13" t="n">
        <v>368.2</v>
      </c>
      <c r="K155" s="13" t="n">
        <v>-7.662414</v>
      </c>
      <c r="L155" s="11" t="inlineStr">
        <is>
          <t>NASDAQ</t>
        </is>
      </c>
      <c r="M155" s="11" t="inlineStr">
        <is>
          <t>LIMIT</t>
        </is>
      </c>
    </row>
    <row r="156">
      <c r="A156" s="8" t="inlineStr">
        <is>
          <t>2026-03-10</t>
        </is>
      </c>
      <c r="B156" s="8" t="inlineStr">
        <is>
          <t>UVIX</t>
        </is>
      </c>
      <c r="C156" s="8" t="inlineStr"/>
      <c r="D156" s="8" t="inlineStr">
        <is>
          <t>STK</t>
        </is>
      </c>
      <c r="E156" s="8" t="inlineStr">
        <is>
          <t>USD</t>
        </is>
      </c>
      <c r="F156" s="8" t="inlineStr">
        <is>
          <t>BUY</t>
        </is>
      </c>
      <c r="G156" s="8" t="n">
        <v>40</v>
      </c>
      <c r="H156" s="9" t="n">
        <v>7.585</v>
      </c>
      <c r="I156" s="10" t="n">
        <v>0.35825725</v>
      </c>
      <c r="J156" s="10" t="n">
        <v>303.4</v>
      </c>
      <c r="K156" s="10" t="n">
        <v>0</v>
      </c>
      <c r="L156" s="8" t="inlineStr">
        <is>
          <t>IBKRATS</t>
        </is>
      </c>
      <c r="M156" s="8" t="inlineStr">
        <is>
          <t>LIMIT</t>
        </is>
      </c>
    </row>
    <row r="157">
      <c r="A157" s="11" t="inlineStr">
        <is>
          <t>2026-03-10</t>
        </is>
      </c>
      <c r="B157" s="11" t="inlineStr">
        <is>
          <t>USO</t>
        </is>
      </c>
      <c r="C157" s="11" t="inlineStr">
        <is>
          <t>UNITED STATES OIL FUND LP</t>
        </is>
      </c>
      <c r="D157" s="11" t="inlineStr">
        <is>
          <t>STK</t>
        </is>
      </c>
      <c r="E157" s="11" t="inlineStr">
        <is>
          <t>USD</t>
        </is>
      </c>
      <c r="F157" s="11" t="inlineStr">
        <is>
          <t>BUY</t>
        </is>
      </c>
      <c r="G157" s="11" t="n">
        <v>2</v>
      </c>
      <c r="H157" s="12" t="n">
        <v>106.188</v>
      </c>
      <c r="I157" s="13" t="n">
        <v>0.35065725</v>
      </c>
      <c r="J157" s="13" t="n">
        <v>212.376</v>
      </c>
      <c r="K157" s="13" t="n">
        <v>0</v>
      </c>
      <c r="L157" s="11" t="inlineStr">
        <is>
          <t>DARK</t>
        </is>
      </c>
      <c r="M157" s="11" t="inlineStr">
        <is>
          <t>MARKET</t>
        </is>
      </c>
    </row>
    <row r="158">
      <c r="A158" s="8" t="inlineStr">
        <is>
          <t>2026-03-11</t>
        </is>
      </c>
      <c r="B158" s="8" t="inlineStr">
        <is>
          <t>CF</t>
        </is>
      </c>
      <c r="C158" s="8" t="inlineStr">
        <is>
          <t>CF INDUSTRIES HOLDINGS INC</t>
        </is>
      </c>
      <c r="D158" s="8" t="inlineStr">
        <is>
          <t>STK</t>
        </is>
      </c>
      <c r="E158" s="8" t="inlineStr">
        <is>
          <t>USD</t>
        </is>
      </c>
      <c r="F158" s="8" t="inlineStr">
        <is>
          <t>BUY</t>
        </is>
      </c>
      <c r="G158" s="8" t="n">
        <v>2</v>
      </c>
      <c r="H158" s="9" t="n">
        <v>119.41</v>
      </c>
      <c r="I158" s="10" t="n">
        <v>0.34425725</v>
      </c>
      <c r="J158" s="10" t="n">
        <v>238.82</v>
      </c>
      <c r="K158" s="10" t="n">
        <v>0</v>
      </c>
      <c r="L158" s="8" t="inlineStr">
        <is>
          <t>NYSE</t>
        </is>
      </c>
      <c r="M158" s="8" t="inlineStr">
        <is>
          <t>LIMIT</t>
        </is>
      </c>
    </row>
    <row r="159">
      <c r="A159" s="11" t="inlineStr">
        <is>
          <t>2026-03-11</t>
        </is>
      </c>
      <c r="B159" s="11" t="inlineStr">
        <is>
          <t>NTR</t>
        </is>
      </c>
      <c r="C159" s="11" t="inlineStr">
        <is>
          <t>NUTRIEN LTD</t>
        </is>
      </c>
      <c r="D159" s="11" t="inlineStr">
        <is>
          <t>STK</t>
        </is>
      </c>
      <c r="E159" s="11" t="inlineStr">
        <is>
          <t>USD</t>
        </is>
      </c>
      <c r="F159" s="11" t="inlineStr">
        <is>
          <t>BUY</t>
        </is>
      </c>
      <c r="G159" s="11" t="n">
        <v>4</v>
      </c>
      <c r="H159" s="12" t="n">
        <v>78.87</v>
      </c>
      <c r="I159" s="13" t="n">
        <v>0.33825725</v>
      </c>
      <c r="J159" s="13" t="n">
        <v>315.48</v>
      </c>
      <c r="K159" s="13" t="n">
        <v>0</v>
      </c>
      <c r="L159" s="11" t="inlineStr">
        <is>
          <t>BATS</t>
        </is>
      </c>
      <c r="M159" s="11" t="inlineStr">
        <is>
          <t>LIMIT</t>
        </is>
      </c>
    </row>
    <row r="160">
      <c r="A160" s="8" t="inlineStr">
        <is>
          <t>2026-03-12</t>
        </is>
      </c>
      <c r="B160" s="8" t="inlineStr">
        <is>
          <t>GLL</t>
        </is>
      </c>
      <c r="C160" s="8" t="inlineStr">
        <is>
          <t>PROSHARES ULTRASHORT GOLD</t>
        </is>
      </c>
      <c r="D160" s="8" t="inlineStr">
        <is>
          <t>STK</t>
        </is>
      </c>
      <c r="E160" s="8" t="inlineStr">
        <is>
          <t>USD</t>
        </is>
      </c>
      <c r="F160" s="8" t="inlineStr">
        <is>
          <t>BUY</t>
        </is>
      </c>
      <c r="G160" s="8" t="n">
        <v>20</v>
      </c>
      <c r="H160" s="9" t="n">
        <v>17.48</v>
      </c>
      <c r="I160" s="10" t="n">
        <v>0.35425725</v>
      </c>
      <c r="J160" s="10" t="n">
        <v>349.6</v>
      </c>
      <c r="K160" s="10" t="n">
        <v>0</v>
      </c>
      <c r="L160" s="8" t="inlineStr">
        <is>
          <t>IBKRATS</t>
        </is>
      </c>
      <c r="M160" s="8" t="inlineStr">
        <is>
          <t>LIMIT</t>
        </is>
      </c>
    </row>
    <row r="161">
      <c r="A161" s="11" t="inlineStr">
        <is>
          <t>2026-03-13</t>
        </is>
      </c>
      <c r="B161" s="11" t="inlineStr">
        <is>
          <t>USO</t>
        </is>
      </c>
      <c r="C161" s="11" t="inlineStr">
        <is>
          <t>UNITED STATES OIL FUND LP</t>
        </is>
      </c>
      <c r="D161" s="11" t="inlineStr">
        <is>
          <t>STK</t>
        </is>
      </c>
      <c r="E161" s="11" t="inlineStr">
        <is>
          <t>USD</t>
        </is>
      </c>
      <c r="F161" s="11" t="inlineStr">
        <is>
          <t>SELL</t>
        </is>
      </c>
      <c r="G161" s="11" t="n">
        <v>2</v>
      </c>
      <c r="H161" s="12" t="n">
        <v>119.185</v>
      </c>
      <c r="I161" s="13" t="n">
        <v>0.35104725</v>
      </c>
      <c r="J161" s="13" t="n">
        <v>238.37</v>
      </c>
      <c r="K161" s="13" t="n">
        <v>25.292296</v>
      </c>
      <c r="L161" s="11" t="inlineStr">
        <is>
          <t>DARK</t>
        </is>
      </c>
      <c r="M161" s="11" t="inlineStr">
        <is>
          <t>LIMIT</t>
        </is>
      </c>
    </row>
    <row r="162">
      <c r="A162" s="8" t="inlineStr">
        <is>
          <t>2026-03-13</t>
        </is>
      </c>
      <c r="B162" s="8" t="inlineStr">
        <is>
          <t>CF</t>
        </is>
      </c>
      <c r="C162" s="8" t="inlineStr">
        <is>
          <t>CF INDUSTRIES HOLDINGS INC</t>
        </is>
      </c>
      <c r="D162" s="8" t="inlineStr">
        <is>
          <t>STK</t>
        </is>
      </c>
      <c r="E162" s="8" t="inlineStr">
        <is>
          <t>USD</t>
        </is>
      </c>
      <c r="F162" s="8" t="inlineStr">
        <is>
          <t>SELL</t>
        </is>
      </c>
      <c r="G162" s="8" t="n">
        <v>2</v>
      </c>
      <c r="H162" s="9" t="n">
        <v>129.76</v>
      </c>
      <c r="I162" s="10" t="n">
        <v>0.34464725</v>
      </c>
      <c r="J162" s="10" t="n">
        <v>259.52</v>
      </c>
      <c r="K162" s="10" t="n">
        <v>20.011096</v>
      </c>
      <c r="L162" s="8" t="inlineStr">
        <is>
          <t>NYSE</t>
        </is>
      </c>
      <c r="M162" s="8" t="inlineStr">
        <is>
          <t>LIMIT</t>
        </is>
      </c>
    </row>
    <row r="163">
      <c r="A163" s="11" t="inlineStr">
        <is>
          <t>2026-03-13</t>
        </is>
      </c>
      <c r="B163" s="11" t="inlineStr">
        <is>
          <t>GLL</t>
        </is>
      </c>
      <c r="C163" s="11" t="inlineStr">
        <is>
          <t>PROSHARES ULTRASHORT GOLD</t>
        </is>
      </c>
      <c r="D163" s="11" t="inlineStr">
        <is>
          <t>STK</t>
        </is>
      </c>
      <c r="E163" s="11" t="inlineStr">
        <is>
          <t>USD</t>
        </is>
      </c>
      <c r="F163" s="11" t="inlineStr">
        <is>
          <t>SELL</t>
        </is>
      </c>
      <c r="G163" s="11" t="n">
        <v>20</v>
      </c>
      <c r="H163" s="12" t="n">
        <v>17.875</v>
      </c>
      <c r="I163" s="13" t="n">
        <v>0.35815725</v>
      </c>
      <c r="J163" s="13" t="n">
        <v>357.5</v>
      </c>
      <c r="K163" s="13" t="n">
        <v>7.187586</v>
      </c>
      <c r="L163" s="11" t="inlineStr">
        <is>
          <t>IBKRATS</t>
        </is>
      </c>
      <c r="M163" s="11" t="inlineStr">
        <is>
          <t>LIMIT</t>
        </is>
      </c>
    </row>
    <row r="164">
      <c r="A164" s="8" t="inlineStr">
        <is>
          <t>2026-03-13</t>
        </is>
      </c>
      <c r="B164" s="8" t="inlineStr">
        <is>
          <t>SOXS</t>
        </is>
      </c>
      <c r="C164" s="8" t="inlineStr">
        <is>
          <t>DIREX DAI SEMI BE 3X ETF-USD</t>
        </is>
      </c>
      <c r="D164" s="8" t="inlineStr">
        <is>
          <t>STK</t>
        </is>
      </c>
      <c r="E164" s="8" t="inlineStr">
        <is>
          <t>USD</t>
        </is>
      </c>
      <c r="F164" s="8" t="inlineStr">
        <is>
          <t>SELL</t>
        </is>
      </c>
      <c r="G164" s="8" t="n">
        <v>10</v>
      </c>
      <c r="H164" s="9" t="n">
        <v>41.4</v>
      </c>
      <c r="I164" s="10" t="n">
        <v>0.35420725</v>
      </c>
      <c r="J164" s="10" t="n">
        <v>414</v>
      </c>
      <c r="K164" s="10" t="n">
        <v>-4.999464</v>
      </c>
      <c r="L164" s="8" t="inlineStr">
        <is>
          <t>IBKRATS</t>
        </is>
      </c>
      <c r="M164" s="8" t="inlineStr">
        <is>
          <t>LIMIT</t>
        </is>
      </c>
    </row>
    <row r="165">
      <c r="A165" s="11" t="inlineStr">
        <is>
          <t>2026-03-13</t>
        </is>
      </c>
      <c r="B165" s="11" t="inlineStr">
        <is>
          <t>NTR</t>
        </is>
      </c>
      <c r="C165" s="11" t="inlineStr">
        <is>
          <t>NUTRIEN LTD</t>
        </is>
      </c>
      <c r="D165" s="11" t="inlineStr">
        <is>
          <t>STK</t>
        </is>
      </c>
      <c r="E165" s="11" t="inlineStr">
        <is>
          <t>USD</t>
        </is>
      </c>
      <c r="F165" s="11" t="inlineStr">
        <is>
          <t>SELL</t>
        </is>
      </c>
      <c r="G165" s="11" t="n">
        <v>4</v>
      </c>
      <c r="H165" s="12" t="n">
        <v>83.29000000000001</v>
      </c>
      <c r="I165" s="13" t="n">
        <v>0.33903725</v>
      </c>
      <c r="J165" s="13" t="n">
        <v>333.16</v>
      </c>
      <c r="K165" s="13" t="n">
        <v>17.002706</v>
      </c>
      <c r="L165" s="11" t="inlineStr">
        <is>
          <t>NYSE</t>
        </is>
      </c>
      <c r="M165" s="11" t="inlineStr">
        <is>
          <t>LIMIT</t>
        </is>
      </c>
    </row>
    <row r="166">
      <c r="A166" s="8" t="inlineStr">
        <is>
          <t>2026-03-19</t>
        </is>
      </c>
      <c r="B166" s="8" t="inlineStr">
        <is>
          <t>FAZ</t>
        </is>
      </c>
      <c r="C166" s="8" t="inlineStr">
        <is>
          <t>DIREX DLY FIN BEA 3X ETF-USD</t>
        </is>
      </c>
      <c r="D166" s="8" t="inlineStr">
        <is>
          <t>STK</t>
        </is>
      </c>
      <c r="E166" s="8" t="inlineStr">
        <is>
          <t>USD</t>
        </is>
      </c>
      <c r="F166" s="8" t="inlineStr">
        <is>
          <t>BUY</t>
        </is>
      </c>
      <c r="G166" s="8" t="n">
        <v>10</v>
      </c>
      <c r="H166" s="9" t="n">
        <v>54.418</v>
      </c>
      <c r="I166" s="10" t="n">
        <v>0.35225725</v>
      </c>
      <c r="J166" s="10" t="n">
        <v>544.1799999999999</v>
      </c>
      <c r="K166" s="10" t="n">
        <v>0</v>
      </c>
      <c r="L166" s="8" t="inlineStr">
        <is>
          <t>DARK</t>
        </is>
      </c>
      <c r="M166" s="8" t="inlineStr">
        <is>
          <t>LIMIT</t>
        </is>
      </c>
    </row>
    <row r="167">
      <c r="A167" s="11" t="inlineStr">
        <is>
          <t>2026-03-20</t>
        </is>
      </c>
      <c r="B167" s="11" t="inlineStr">
        <is>
          <t>SQQQ</t>
        </is>
      </c>
      <c r="C167" s="11" t="inlineStr">
        <is>
          <t>PROSHARES ULTRAPRO SHORT QQQ</t>
        </is>
      </c>
      <c r="D167" s="11" t="inlineStr">
        <is>
          <t>STK</t>
        </is>
      </c>
      <c r="E167" s="11" t="inlineStr">
        <is>
          <t>USD</t>
        </is>
      </c>
      <c r="F167" s="11" t="inlineStr">
        <is>
          <t>BUY</t>
        </is>
      </c>
      <c r="G167" s="11" t="n">
        <v>2</v>
      </c>
      <c r="H167" s="12" t="n">
        <v>80.84</v>
      </c>
      <c r="I167" s="13" t="n">
        <v>0.35065725</v>
      </c>
      <c r="J167" s="13" t="n">
        <v>161.68</v>
      </c>
      <c r="K167" s="13" t="n">
        <v>0</v>
      </c>
      <c r="L167" s="11" t="inlineStr">
        <is>
          <t>DARK</t>
        </is>
      </c>
      <c r="M167" s="11" t="inlineStr">
        <is>
          <t>LIMIT</t>
        </is>
      </c>
    </row>
    <row r="168">
      <c r="A168" s="8" t="inlineStr">
        <is>
          <t>2026-03-20</t>
        </is>
      </c>
      <c r="B168" s="8" t="inlineStr">
        <is>
          <t>TSLZ</t>
        </is>
      </c>
      <c r="C168" s="8" t="inlineStr">
        <is>
          <t>T-REX 2X INVERSE TESLA DLY</t>
        </is>
      </c>
      <c r="D168" s="8" t="inlineStr">
        <is>
          <t>STK</t>
        </is>
      </c>
      <c r="E168" s="8" t="inlineStr">
        <is>
          <t>USD</t>
        </is>
      </c>
      <c r="F168" s="8" t="inlineStr">
        <is>
          <t>BUY</t>
        </is>
      </c>
      <c r="G168" s="8" t="n">
        <v>10</v>
      </c>
      <c r="H168" s="9" t="n">
        <v>16.73</v>
      </c>
      <c r="I168" s="10" t="n">
        <v>0.33625725</v>
      </c>
      <c r="J168" s="10" t="n">
        <v>167.3</v>
      </c>
      <c r="K168" s="10" t="n">
        <v>0</v>
      </c>
      <c r="L168" s="8" t="inlineStr">
        <is>
          <t>ARCA</t>
        </is>
      </c>
      <c r="M168" s="8" t="inlineStr">
        <is>
          <t>LIMIT</t>
        </is>
      </c>
    </row>
    <row r="169">
      <c r="A169" s="11" t="inlineStr">
        <is>
          <t>2026-03-23</t>
        </is>
      </c>
      <c r="B169" s="11" t="inlineStr">
        <is>
          <t>SQQQ</t>
        </is>
      </c>
      <c r="C169" s="11" t="inlineStr">
        <is>
          <t>PROSHARES ULTRAPRO SHORT QQQ</t>
        </is>
      </c>
      <c r="D169" s="11" t="inlineStr">
        <is>
          <t>STK</t>
        </is>
      </c>
      <c r="E169" s="11" t="inlineStr">
        <is>
          <t>USD</t>
        </is>
      </c>
      <c r="F169" s="11" t="inlineStr">
        <is>
          <t>SELL</t>
        </is>
      </c>
      <c r="G169" s="11" t="n">
        <v>2</v>
      </c>
      <c r="H169" s="12" t="n">
        <v>77.48</v>
      </c>
      <c r="I169" s="13" t="n">
        <v>0.34844725</v>
      </c>
      <c r="J169" s="13" t="n">
        <v>154.96</v>
      </c>
      <c r="K169" s="13" t="n">
        <v>-7.419104</v>
      </c>
      <c r="L169" s="11" t="inlineStr">
        <is>
          <t>NASDAQ</t>
        </is>
      </c>
      <c r="M169" s="11" t="inlineStr">
        <is>
          <t>LIMIT</t>
        </is>
      </c>
    </row>
    <row r="170">
      <c r="A170" s="8" t="inlineStr">
        <is>
          <t>2026-03-23</t>
        </is>
      </c>
      <c r="B170" s="8" t="inlineStr">
        <is>
          <t>TSLZ</t>
        </is>
      </c>
      <c r="C170" s="8" t="inlineStr">
        <is>
          <t>T-REX 2X INVERSE TESLA DLY</t>
        </is>
      </c>
      <c r="D170" s="8" t="inlineStr">
        <is>
          <t>STK</t>
        </is>
      </c>
      <c r="E170" s="8" t="inlineStr">
        <is>
          <t>USD</t>
        </is>
      </c>
      <c r="F170" s="8" t="inlineStr">
        <is>
          <t>SELL</t>
        </is>
      </c>
      <c r="G170" s="8" t="n">
        <v>10</v>
      </c>
      <c r="H170" s="9" t="n">
        <v>15.492</v>
      </c>
      <c r="I170" s="10" t="n">
        <v>0.35420725</v>
      </c>
      <c r="J170" s="10" t="n">
        <v>154.92</v>
      </c>
      <c r="K170" s="10" t="n">
        <v>-13.070464</v>
      </c>
      <c r="L170" s="8" t="inlineStr">
        <is>
          <t>DARK</t>
        </is>
      </c>
      <c r="M170" s="8" t="inlineStr">
        <is>
          <t>LIMIT</t>
        </is>
      </c>
    </row>
    <row r="171">
      <c r="A171" s="11" t="inlineStr">
        <is>
          <t>2026-03-23</t>
        </is>
      </c>
      <c r="B171" s="11" t="inlineStr">
        <is>
          <t>ABXXF</t>
        </is>
      </c>
      <c r="C171" s="11" t="inlineStr">
        <is>
          <t>ABAXX TECHNOLOGIES IN</t>
        </is>
      </c>
      <c r="D171" s="11" t="inlineStr">
        <is>
          <t>STK</t>
        </is>
      </c>
      <c r="E171" s="11" t="inlineStr">
        <is>
          <t>USD</t>
        </is>
      </c>
      <c r="F171" s="11" t="inlineStr">
        <is>
          <t>BUY</t>
        </is>
      </c>
      <c r="G171" s="11" t="n">
        <v>4</v>
      </c>
      <c r="H171" s="12" t="n">
        <v>27.33</v>
      </c>
      <c r="I171" s="13" t="n">
        <v>0.36305725</v>
      </c>
      <c r="J171" s="13" t="n">
        <v>109.32</v>
      </c>
      <c r="K171" s="13" t="n">
        <v>0</v>
      </c>
      <c r="L171" s="11" t="inlineStr">
        <is>
          <t>ARCAEDGE</t>
        </is>
      </c>
      <c r="M171" s="11" t="inlineStr">
        <is>
          <t>MARKET</t>
        </is>
      </c>
    </row>
    <row r="172">
      <c r="A172" s="8" t="inlineStr">
        <is>
          <t>2026-03-23</t>
        </is>
      </c>
      <c r="B172" s="8" t="inlineStr">
        <is>
          <t>UGL</t>
        </is>
      </c>
      <c r="C172" s="8" t="inlineStr">
        <is>
          <t>PROSHARES ULTRA GOLD</t>
        </is>
      </c>
      <c r="D172" s="8" t="inlineStr">
        <is>
          <t>STK</t>
        </is>
      </c>
      <c r="E172" s="8" t="inlineStr">
        <is>
          <t>USD</t>
        </is>
      </c>
      <c r="F172" s="8" t="inlineStr">
        <is>
          <t>BUY</t>
        </is>
      </c>
      <c r="G172" s="8" t="n">
        <v>2</v>
      </c>
      <c r="H172" s="9" t="n">
        <v>54.7389</v>
      </c>
      <c r="I172" s="10" t="n">
        <v>0.35065725</v>
      </c>
      <c r="J172" s="10" t="n">
        <v>109.4778</v>
      </c>
      <c r="K172" s="10" t="n">
        <v>0</v>
      </c>
      <c r="L172" s="8" t="inlineStr">
        <is>
          <t>DARK</t>
        </is>
      </c>
      <c r="M172" s="8" t="inlineStr">
        <is>
          <t>LIMIT</t>
        </is>
      </c>
    </row>
    <row r="173">
      <c r="A173" s="11" t="inlineStr">
        <is>
          <t>2026-03-23</t>
        </is>
      </c>
      <c r="B173" s="11" t="inlineStr">
        <is>
          <t>UGL</t>
        </is>
      </c>
      <c r="C173" s="11" t="inlineStr">
        <is>
          <t>PROSHARES ULTRA GOLD</t>
        </is>
      </c>
      <c r="D173" s="11" t="inlineStr">
        <is>
          <t>STK</t>
        </is>
      </c>
      <c r="E173" s="11" t="inlineStr">
        <is>
          <t>USD</t>
        </is>
      </c>
      <c r="F173" s="11" t="inlineStr">
        <is>
          <t>BUY</t>
        </is>
      </c>
      <c r="G173" s="11" t="n">
        <v>2</v>
      </c>
      <c r="H173" s="12" t="n">
        <v>54.74</v>
      </c>
      <c r="I173" s="13" t="n">
        <v>0.0004</v>
      </c>
      <c r="J173" s="13" t="n">
        <v>109.48</v>
      </c>
      <c r="K173" s="13" t="n">
        <v>0</v>
      </c>
      <c r="L173" s="11" t="inlineStr">
        <is>
          <t>DARK</t>
        </is>
      </c>
      <c r="M173" s="11" t="inlineStr">
        <is>
          <t>LIMIT</t>
        </is>
      </c>
    </row>
    <row r="174">
      <c r="A174" s="8" t="inlineStr">
        <is>
          <t>2026-03-23</t>
        </is>
      </c>
      <c r="B174" s="8" t="inlineStr">
        <is>
          <t>GLD</t>
        </is>
      </c>
      <c r="C174" s="8" t="inlineStr">
        <is>
          <t>SPDR GOLD SHARES</t>
        </is>
      </c>
      <c r="D174" s="8" t="inlineStr">
        <is>
          <t>STK</t>
        </is>
      </c>
      <c r="E174" s="8" t="inlineStr">
        <is>
          <t>USD</t>
        </is>
      </c>
      <c r="F174" s="8" t="inlineStr">
        <is>
          <t>BUY</t>
        </is>
      </c>
      <c r="G174" s="8" t="n">
        <v>2</v>
      </c>
      <c r="H174" s="9" t="n">
        <v>404.9888</v>
      </c>
      <c r="I174" s="10" t="n">
        <v>0.35065725</v>
      </c>
      <c r="J174" s="10" t="n">
        <v>809.9776000000001</v>
      </c>
      <c r="K174" s="10" t="n">
        <v>0</v>
      </c>
      <c r="L174" s="8" t="inlineStr">
        <is>
          <t>DARK</t>
        </is>
      </c>
      <c r="M174" s="8" t="inlineStr">
        <is>
          <t>LIMIT</t>
        </is>
      </c>
    </row>
    <row r="175">
      <c r="A175" s="11" t="inlineStr">
        <is>
          <t>2026-03-23</t>
        </is>
      </c>
      <c r="B175" s="11" t="inlineStr">
        <is>
          <t>SLV</t>
        </is>
      </c>
      <c r="C175" s="11" t="inlineStr">
        <is>
          <t>ISHARES SILVER TRUST</t>
        </is>
      </c>
      <c r="D175" s="11" t="inlineStr">
        <is>
          <t>STK</t>
        </is>
      </c>
      <c r="E175" s="11" t="inlineStr">
        <is>
          <t>USD</t>
        </is>
      </c>
      <c r="F175" s="11" t="inlineStr">
        <is>
          <t>BUY</t>
        </is>
      </c>
      <c r="G175" s="11" t="n">
        <v>6</v>
      </c>
      <c r="H175" s="12" t="n">
        <v>62.7</v>
      </c>
      <c r="I175" s="13" t="n">
        <v>0.34185725</v>
      </c>
      <c r="J175" s="13" t="n">
        <v>376.2</v>
      </c>
      <c r="K175" s="13" t="n">
        <v>0</v>
      </c>
      <c r="L175" s="11" t="inlineStr">
        <is>
          <t>ARCA</t>
        </is>
      </c>
      <c r="M175" s="11" t="inlineStr">
        <is>
          <t>LIMIT</t>
        </is>
      </c>
    </row>
    <row r="176">
      <c r="A176" s="8" t="inlineStr">
        <is>
          <t>2026-03-24</t>
        </is>
      </c>
      <c r="B176" s="8" t="inlineStr">
        <is>
          <t>SLV</t>
        </is>
      </c>
      <c r="C176" s="8" t="inlineStr">
        <is>
          <t>ISHARES SILVER TRUST</t>
        </is>
      </c>
      <c r="D176" s="8" t="inlineStr">
        <is>
          <t>STK</t>
        </is>
      </c>
      <c r="E176" s="8" t="inlineStr">
        <is>
          <t>USD</t>
        </is>
      </c>
      <c r="F176" s="8" t="inlineStr">
        <is>
          <t>SELL</t>
        </is>
      </c>
      <c r="G176" s="8" t="n">
        <v>6</v>
      </c>
      <c r="H176" s="9" t="n">
        <v>62.435</v>
      </c>
      <c r="I176" s="10" t="n">
        <v>0.35262725</v>
      </c>
      <c r="J176" s="10" t="n">
        <v>374.61</v>
      </c>
      <c r="K176" s="10" t="n">
        <v>-2.284484</v>
      </c>
      <c r="L176" s="8" t="inlineStr">
        <is>
          <t>DARK</t>
        </is>
      </c>
      <c r="M176" s="8" t="inlineStr">
        <is>
          <t>LIMIT</t>
        </is>
      </c>
    </row>
    <row r="177">
      <c r="A177" s="11" t="inlineStr">
        <is>
          <t>2026-03-24</t>
        </is>
      </c>
      <c r="B177" s="11" t="inlineStr">
        <is>
          <t>UGL</t>
        </is>
      </c>
      <c r="C177" s="11" t="inlineStr">
        <is>
          <t>PROSHARES ULTRA GOLD</t>
        </is>
      </c>
      <c r="D177" s="11" t="inlineStr">
        <is>
          <t>STK</t>
        </is>
      </c>
      <c r="E177" s="11" t="inlineStr">
        <is>
          <t>USD</t>
        </is>
      </c>
      <c r="F177" s="11" t="inlineStr">
        <is>
          <t>SELL</t>
        </is>
      </c>
      <c r="G177" s="11" t="n">
        <v>4</v>
      </c>
      <c r="H177" s="12" t="n">
        <v>54.74</v>
      </c>
      <c r="I177" s="13" t="n">
        <v>0.34543725</v>
      </c>
      <c r="J177" s="13" t="n">
        <v>218.96</v>
      </c>
      <c r="K177" s="13" t="n">
        <v>-0.694295</v>
      </c>
      <c r="L177" s="11" t="inlineStr">
        <is>
          <t>ARCA</t>
        </is>
      </c>
      <c r="M177" s="11" t="inlineStr">
        <is>
          <t>LIMIT</t>
        </is>
      </c>
    </row>
    <row r="178">
      <c r="A178" s="8" t="inlineStr">
        <is>
          <t>2026-03-24</t>
        </is>
      </c>
      <c r="B178" s="8" t="inlineStr">
        <is>
          <t>GLD</t>
        </is>
      </c>
      <c r="C178" s="8" t="inlineStr">
        <is>
          <t>SPDR GOLD SHARES</t>
        </is>
      </c>
      <c r="D178" s="8" t="inlineStr">
        <is>
          <t>STK</t>
        </is>
      </c>
      <c r="E178" s="8" t="inlineStr">
        <is>
          <t>USD</t>
        </is>
      </c>
      <c r="F178" s="8" t="inlineStr">
        <is>
          <t>SELL</t>
        </is>
      </c>
      <c r="G178" s="8" t="n">
        <v>2</v>
      </c>
      <c r="H178" s="9" t="n">
        <v>405.25</v>
      </c>
      <c r="I178" s="10" t="n">
        <v>0.35104725</v>
      </c>
      <c r="J178" s="10" t="n">
        <v>810.5</v>
      </c>
      <c r="K178" s="10" t="n">
        <v>-0.179304</v>
      </c>
      <c r="L178" s="8" t="inlineStr">
        <is>
          <t>DARK</t>
        </is>
      </c>
      <c r="M178" s="8" t="inlineStr">
        <is>
          <t>LIMIT</t>
        </is>
      </c>
    </row>
    <row r="179">
      <c r="A179" s="11" t="inlineStr">
        <is>
          <t>2026-03-25</t>
        </is>
      </c>
      <c r="B179" s="11" t="inlineStr">
        <is>
          <t>EMAAR</t>
        </is>
      </c>
      <c r="C179" s="11" t="inlineStr">
        <is>
          <t>EMAAR PROPERTIES PJSC</t>
        </is>
      </c>
      <c r="D179" s="11" t="inlineStr">
        <is>
          <t>STK</t>
        </is>
      </c>
      <c r="E179" s="11" t="inlineStr">
        <is>
          <t>AED</t>
        </is>
      </c>
      <c r="F179" s="11" t="inlineStr">
        <is>
          <t>BUY</t>
        </is>
      </c>
      <c r="G179" s="11" t="n">
        <v>100</v>
      </c>
      <c r="H179" s="12" t="n">
        <v>12.6</v>
      </c>
      <c r="I179" s="13" t="n">
        <v>15</v>
      </c>
      <c r="J179" s="13" t="n">
        <v>1260</v>
      </c>
      <c r="K179" s="13" t="n">
        <v>0</v>
      </c>
      <c r="L179" s="11" t="inlineStr">
        <is>
          <t>DFM</t>
        </is>
      </c>
      <c r="M179" s="11" t="inlineStr">
        <is>
          <t>LIMIT</t>
        </is>
      </c>
    </row>
    <row r="180">
      <c r="A180" s="8" t="inlineStr">
        <is>
          <t>2026-03-25</t>
        </is>
      </c>
      <c r="B180" s="8" t="inlineStr">
        <is>
          <t>EMIRATESN</t>
        </is>
      </c>
      <c r="C180" s="8" t="inlineStr">
        <is>
          <t>EMIRATES NBD PJSC</t>
        </is>
      </c>
      <c r="D180" s="8" t="inlineStr">
        <is>
          <t>STK</t>
        </is>
      </c>
      <c r="E180" s="8" t="inlineStr">
        <is>
          <t>AED</t>
        </is>
      </c>
      <c r="F180" s="8" t="inlineStr">
        <is>
          <t>BUY</t>
        </is>
      </c>
      <c r="G180" s="8" t="n">
        <v>40</v>
      </c>
      <c r="H180" s="9" t="n">
        <v>29.35</v>
      </c>
      <c r="I180" s="10" t="n">
        <v>15</v>
      </c>
      <c r="J180" s="10" t="n">
        <v>1174</v>
      </c>
      <c r="K180" s="10" t="n">
        <v>0</v>
      </c>
      <c r="L180" s="8" t="inlineStr">
        <is>
          <t>DFM</t>
        </is>
      </c>
      <c r="M180" s="8" t="inlineStr">
        <is>
          <t>LIMIT</t>
        </is>
      </c>
    </row>
    <row r="181">
      <c r="A181" s="11" t="inlineStr">
        <is>
          <t>2026-03-25</t>
        </is>
      </c>
      <c r="B181" s="11" t="inlineStr">
        <is>
          <t>USD.AED</t>
        </is>
      </c>
      <c r="C181" s="11" t="inlineStr">
        <is>
          <t>United States dollar</t>
        </is>
      </c>
      <c r="D181" s="11" t="inlineStr">
        <is>
          <t>CASH</t>
        </is>
      </c>
      <c r="E181" s="11" t="inlineStr">
        <is>
          <t>AED</t>
        </is>
      </c>
      <c r="F181" s="11" t="inlineStr">
        <is>
          <t>SELL</t>
        </is>
      </c>
      <c r="G181" s="11" t="n">
        <v>119</v>
      </c>
      <c r="H181" s="12" t="n">
        <v>3.67204</v>
      </c>
      <c r="I181" s="13" t="n">
        <v>0</v>
      </c>
      <c r="J181" s="13" t="n">
        <v>436.97276</v>
      </c>
      <c r="K181" s="13" t="n">
        <v>0</v>
      </c>
      <c r="L181" s="11" t="inlineStr">
        <is>
          <t>FXCONV</t>
        </is>
      </c>
      <c r="M181" s="11" t="inlineStr">
        <is>
          <t>MARKET</t>
        </is>
      </c>
    </row>
    <row r="182">
      <c r="A182" s="8" t="inlineStr">
        <is>
          <t>2026-03-25</t>
        </is>
      </c>
      <c r="B182" s="8" t="inlineStr">
        <is>
          <t>SALIK</t>
        </is>
      </c>
      <c r="C182" s="8" t="inlineStr">
        <is>
          <t>SALIK CO PJSC</t>
        </is>
      </c>
      <c r="D182" s="8" t="inlineStr">
        <is>
          <t>STK</t>
        </is>
      </c>
      <c r="E182" s="8" t="inlineStr">
        <is>
          <t>AED</t>
        </is>
      </c>
      <c r="F182" s="8" t="inlineStr">
        <is>
          <t>BUY</t>
        </is>
      </c>
      <c r="G182" s="8" t="n">
        <v>200</v>
      </c>
      <c r="H182" s="9" t="n">
        <v>5.36</v>
      </c>
      <c r="I182" s="10" t="n">
        <v>15</v>
      </c>
      <c r="J182" s="10" t="n">
        <v>1072</v>
      </c>
      <c r="K182" s="10" t="n">
        <v>0</v>
      </c>
      <c r="L182" s="8" t="inlineStr">
        <is>
          <t>DFM</t>
        </is>
      </c>
      <c r="M182" s="8" t="inlineStr">
        <is>
          <t>LIMIT</t>
        </is>
      </c>
    </row>
    <row r="183">
      <c r="A183" s="11" t="inlineStr">
        <is>
          <t>2026-03-25</t>
        </is>
      </c>
      <c r="B183" s="11" t="inlineStr">
        <is>
          <t>USD.AED</t>
        </is>
      </c>
      <c r="C183" s="11" t="inlineStr">
        <is>
          <t>United States dollar</t>
        </is>
      </c>
      <c r="D183" s="11" t="inlineStr">
        <is>
          <t>CASH</t>
        </is>
      </c>
      <c r="E183" s="11" t="inlineStr">
        <is>
          <t>AED</t>
        </is>
      </c>
      <c r="F183" s="11" t="inlineStr">
        <is>
          <t>SELL</t>
        </is>
      </c>
      <c r="G183" s="11" t="n">
        <v>287</v>
      </c>
      <c r="H183" s="12" t="n">
        <v>3.67209</v>
      </c>
      <c r="I183" s="13" t="n">
        <v>0</v>
      </c>
      <c r="J183" s="13" t="n">
        <v>1053.88983</v>
      </c>
      <c r="K183" s="13" t="n">
        <v>0</v>
      </c>
      <c r="L183" s="11" t="inlineStr">
        <is>
          <t>FXCONV</t>
        </is>
      </c>
      <c r="M183" s="11" t="inlineStr">
        <is>
          <t>MARKET</t>
        </is>
      </c>
    </row>
    <row r="184">
      <c r="A184" s="8" t="inlineStr">
        <is>
          <t>2026-03-25</t>
        </is>
      </c>
      <c r="B184" s="8" t="inlineStr">
        <is>
          <t>DTC</t>
        </is>
      </c>
      <c r="C184" s="8" t="inlineStr">
        <is>
          <t>DUBAI TAXI CO PJSC</t>
        </is>
      </c>
      <c r="D184" s="8" t="inlineStr">
        <is>
          <t>STK</t>
        </is>
      </c>
      <c r="E184" s="8" t="inlineStr">
        <is>
          <t>AED</t>
        </is>
      </c>
      <c r="F184" s="8" t="inlineStr">
        <is>
          <t>BUY</t>
        </is>
      </c>
      <c r="G184" s="8" t="n">
        <v>450</v>
      </c>
      <c r="H184" s="9" t="n">
        <v>2.31</v>
      </c>
      <c r="I184" s="10" t="n">
        <v>15</v>
      </c>
      <c r="J184" s="10" t="n">
        <v>1039.5</v>
      </c>
      <c r="K184" s="10" t="n">
        <v>0</v>
      </c>
      <c r="L184" s="8" t="inlineStr">
        <is>
          <t>DFM</t>
        </is>
      </c>
      <c r="M184" s="8" t="inlineStr">
        <is>
          <t>MARKET</t>
        </is>
      </c>
    </row>
    <row r="185">
      <c r="A185" s="11" t="inlineStr">
        <is>
          <t>2026-03-25</t>
        </is>
      </c>
      <c r="B185" s="11" t="inlineStr">
        <is>
          <t>GLD</t>
        </is>
      </c>
      <c r="C185" s="11" t="inlineStr">
        <is>
          <t>SPDR GOLD SHARES</t>
        </is>
      </c>
      <c r="D185" s="11" t="inlineStr">
        <is>
          <t>STK</t>
        </is>
      </c>
      <c r="E185" s="11" t="inlineStr">
        <is>
          <t>USD</t>
        </is>
      </c>
      <c r="F185" s="11" t="inlineStr">
        <is>
          <t>BUY</t>
        </is>
      </c>
      <c r="G185" s="11" t="n">
        <v>2</v>
      </c>
      <c r="H185" s="12" t="n">
        <v>417.76</v>
      </c>
      <c r="I185" s="13" t="n">
        <v>0.35065725</v>
      </c>
      <c r="J185" s="13" t="n">
        <v>835.52</v>
      </c>
      <c r="K185" s="13" t="n">
        <v>0</v>
      </c>
      <c r="L185" s="11" t="inlineStr">
        <is>
          <t>IBKRATS</t>
        </is>
      </c>
      <c r="M185" s="11" t="inlineStr">
        <is>
          <t>LIMIT</t>
        </is>
      </c>
    </row>
    <row r="186">
      <c r="A186" s="8" t="inlineStr">
        <is>
          <t>2026-03-25</t>
        </is>
      </c>
      <c r="B186" s="8" t="inlineStr">
        <is>
          <t>SLV</t>
        </is>
      </c>
      <c r="C186" s="8" t="inlineStr">
        <is>
          <t>ISHARES SILVER TRUST</t>
        </is>
      </c>
      <c r="D186" s="8" t="inlineStr">
        <is>
          <t>STK</t>
        </is>
      </c>
      <c r="E186" s="8" t="inlineStr">
        <is>
          <t>USD</t>
        </is>
      </c>
      <c r="F186" s="8" t="inlineStr">
        <is>
          <t>BUY</t>
        </is>
      </c>
      <c r="G186" s="8" t="n">
        <v>10</v>
      </c>
      <c r="H186" s="9" t="n">
        <v>65.5093</v>
      </c>
      <c r="I186" s="10" t="n">
        <v>0.35225725</v>
      </c>
      <c r="J186" s="10" t="n">
        <v>655.093</v>
      </c>
      <c r="K186" s="10" t="n">
        <v>0</v>
      </c>
      <c r="L186" s="8" t="inlineStr">
        <is>
          <t>DARK</t>
        </is>
      </c>
      <c r="M186" s="8" t="inlineStr">
        <is>
          <t>LIMIT</t>
        </is>
      </c>
    </row>
    <row r="187">
      <c r="A187" s="11" t="inlineStr">
        <is>
          <t>2026-03-25</t>
        </is>
      </c>
      <c r="B187" s="11" t="inlineStr">
        <is>
          <t>USD.AED</t>
        </is>
      </c>
      <c r="C187" s="11" t="inlineStr">
        <is>
          <t>United States dollar</t>
        </is>
      </c>
      <c r="D187" s="11" t="inlineStr">
        <is>
          <t>CASH</t>
        </is>
      </c>
      <c r="E187" s="11" t="inlineStr">
        <is>
          <t>AED</t>
        </is>
      </c>
      <c r="F187" s="11" t="inlineStr">
        <is>
          <t>BUY</t>
        </is>
      </c>
      <c r="G187" s="11" t="n">
        <v>0.26336431</v>
      </c>
      <c r="H187" s="12" t="n">
        <v>3.67430196</v>
      </c>
      <c r="I187" s="13" t="n">
        <v>0</v>
      </c>
      <c r="J187" s="13" t="n">
        <v>-0.96768</v>
      </c>
      <c r="K187" s="13" t="n">
        <v>0</v>
      </c>
      <c r="L187" s="11" t="inlineStr">
        <is>
          <t>FXCONV</t>
        </is>
      </c>
      <c r="M187" s="11" t="inlineStr">
        <is>
          <t>OTHER</t>
        </is>
      </c>
    </row>
    <row r="188">
      <c r="A188" s="8" t="inlineStr">
        <is>
          <t>2026-03-30</t>
        </is>
      </c>
      <c r="B188" s="8" t="inlineStr">
        <is>
          <t>WEAT</t>
        </is>
      </c>
      <c r="C188" s="8" t="inlineStr">
        <is>
          <t>TEUCRIUM WHEAT FUND</t>
        </is>
      </c>
      <c r="D188" s="8" t="inlineStr">
        <is>
          <t>STK</t>
        </is>
      </c>
      <c r="E188" s="8" t="inlineStr">
        <is>
          <t>USD</t>
        </is>
      </c>
      <c r="F188" s="8" t="inlineStr">
        <is>
          <t>BUY</t>
        </is>
      </c>
      <c r="G188" s="8" t="n">
        <v>6</v>
      </c>
      <c r="H188" s="9" t="n">
        <v>23.265</v>
      </c>
      <c r="I188" s="10" t="n">
        <v>0.35145725</v>
      </c>
      <c r="J188" s="10" t="n">
        <v>139.59</v>
      </c>
      <c r="K188" s="10" t="n">
        <v>0</v>
      </c>
      <c r="L188" s="8" t="inlineStr">
        <is>
          <t>IBKRATS</t>
        </is>
      </c>
      <c r="M188" s="8" t="inlineStr">
        <is>
          <t>LIMIT</t>
        </is>
      </c>
    </row>
    <row r="189">
      <c r="A189" s="11" t="inlineStr">
        <is>
          <t>2026-03-30</t>
        </is>
      </c>
      <c r="B189" s="11" t="inlineStr">
        <is>
          <t>WEAT</t>
        </is>
      </c>
      <c r="C189" s="11" t="inlineStr">
        <is>
          <t>TEUCRIUM WHEAT FUND</t>
        </is>
      </c>
      <c r="D189" s="11" t="inlineStr">
        <is>
          <t>STK</t>
        </is>
      </c>
      <c r="E189" s="11" t="inlineStr">
        <is>
          <t>USD</t>
        </is>
      </c>
      <c r="F189" s="11" t="inlineStr">
        <is>
          <t>BUY</t>
        </is>
      </c>
      <c r="G189" s="11" t="n">
        <v>14</v>
      </c>
      <c r="H189" s="12" t="n">
        <v>23.265</v>
      </c>
      <c r="I189" s="13" t="n">
        <v>0.0028</v>
      </c>
      <c r="J189" s="13" t="n">
        <v>325.71</v>
      </c>
      <c r="K189" s="13" t="n">
        <v>0</v>
      </c>
      <c r="L189" s="11" t="inlineStr">
        <is>
          <t>IBKRATS</t>
        </is>
      </c>
      <c r="M189" s="11" t="inlineStr">
        <is>
          <t>LIMIT</t>
        </is>
      </c>
    </row>
    <row r="190">
      <c r="A190" s="8" t="inlineStr">
        <is>
          <t>2026-03-30</t>
        </is>
      </c>
      <c r="B190" s="8" t="inlineStr">
        <is>
          <t>CORN</t>
        </is>
      </c>
      <c r="C190" s="8" t="inlineStr">
        <is>
          <t>TEUCRIUM CORN FUND</t>
        </is>
      </c>
      <c r="D190" s="8" t="inlineStr">
        <is>
          <t>STK</t>
        </is>
      </c>
      <c r="E190" s="8" t="inlineStr">
        <is>
          <t>USD</t>
        </is>
      </c>
      <c r="F190" s="8" t="inlineStr">
        <is>
          <t>BUY</t>
        </is>
      </c>
      <c r="G190" s="8" t="n">
        <v>20</v>
      </c>
      <c r="H190" s="9" t="n">
        <v>18.325</v>
      </c>
      <c r="I190" s="10" t="n">
        <v>0.35425725</v>
      </c>
      <c r="J190" s="10" t="n">
        <v>366.5</v>
      </c>
      <c r="K190" s="10" t="n">
        <v>0</v>
      </c>
      <c r="L190" s="8" t="inlineStr">
        <is>
          <t>DARK</t>
        </is>
      </c>
      <c r="M190" s="8" t="inlineStr">
        <is>
          <t>LIMIT</t>
        </is>
      </c>
    </row>
    <row r="191">
      <c r="A191" s="11" t="inlineStr">
        <is>
          <t>2026-03-31</t>
        </is>
      </c>
      <c r="B191" s="11" t="inlineStr">
        <is>
          <t>GLD</t>
        </is>
      </c>
      <c r="C191" s="11" t="inlineStr">
        <is>
          <t>SPDR GOLD SHARES</t>
        </is>
      </c>
      <c r="D191" s="11" t="inlineStr">
        <is>
          <t>STK</t>
        </is>
      </c>
      <c r="E191" s="11" t="inlineStr">
        <is>
          <t>USD</t>
        </is>
      </c>
      <c r="F191" s="11" t="inlineStr">
        <is>
          <t>BUY</t>
        </is>
      </c>
      <c r="G191" s="11" t="n">
        <v>2</v>
      </c>
      <c r="H191" s="12" t="n">
        <v>430.2387</v>
      </c>
      <c r="I191" s="13" t="n">
        <v>0.35065725</v>
      </c>
      <c r="J191" s="13" t="n">
        <v>860.4774</v>
      </c>
      <c r="K191" s="13" t="n">
        <v>0</v>
      </c>
      <c r="L191" s="11" t="inlineStr">
        <is>
          <t>DARK</t>
        </is>
      </c>
      <c r="M191" s="11" t="inlineStr">
        <is>
          <t>MARKET</t>
        </is>
      </c>
    </row>
    <row r="192">
      <c r="A192" s="8" t="inlineStr">
        <is>
          <t>2026-04-02</t>
        </is>
      </c>
      <c r="B192" s="8" t="inlineStr">
        <is>
          <t>TSLZ</t>
        </is>
      </c>
      <c r="C192" s="8" t="inlineStr">
        <is>
          <t>T-REX 2X INVERSE TESLA DLY</t>
        </is>
      </c>
      <c r="D192" s="8" t="inlineStr">
        <is>
          <t>STK</t>
        </is>
      </c>
      <c r="E192" s="8" t="inlineStr">
        <is>
          <t>USD</t>
        </is>
      </c>
      <c r="F192" s="8" t="inlineStr">
        <is>
          <t>BUY</t>
        </is>
      </c>
      <c r="G192" s="8" t="n">
        <v>10</v>
      </c>
      <c r="H192" s="9" t="n">
        <v>16.38</v>
      </c>
      <c r="I192" s="10" t="n">
        <v>0.35225725</v>
      </c>
      <c r="J192" s="10" t="n">
        <v>163.8</v>
      </c>
      <c r="K192" s="10" t="n">
        <v>0</v>
      </c>
      <c r="L192" s="8" t="inlineStr">
        <is>
          <t>IBKRATS</t>
        </is>
      </c>
      <c r="M192" s="8" t="inlineStr">
        <is>
          <t>LIMIT</t>
        </is>
      </c>
    </row>
    <row r="193">
      <c r="A193" s="11" t="inlineStr">
        <is>
          <t>2026-04-02</t>
        </is>
      </c>
      <c r="B193" s="11" t="inlineStr">
        <is>
          <t>GLD</t>
        </is>
      </c>
      <c r="C193" s="11" t="inlineStr">
        <is>
          <t>SPDR GOLD SHARES</t>
        </is>
      </c>
      <c r="D193" s="11" t="inlineStr">
        <is>
          <t>STK</t>
        </is>
      </c>
      <c r="E193" s="11" t="inlineStr">
        <is>
          <t>USD</t>
        </is>
      </c>
      <c r="F193" s="11" t="inlineStr">
        <is>
          <t>SELL</t>
        </is>
      </c>
      <c r="G193" s="11" t="n">
        <v>1</v>
      </c>
      <c r="H193" s="12" t="n">
        <v>427</v>
      </c>
      <c r="I193" s="13" t="n">
        <v>0.35784845</v>
      </c>
      <c r="J193" s="13" t="n">
        <v>427</v>
      </c>
      <c r="K193" s="13" t="n">
        <v>8.706823</v>
      </c>
      <c r="L193" s="11" t="inlineStr">
        <is>
          <t>ARCA</t>
        </is>
      </c>
      <c r="M193" s="11" t="inlineStr">
        <is>
          <t>LIMIT</t>
        </is>
      </c>
    </row>
    <row r="194">
      <c r="A194" s="8" t="inlineStr">
        <is>
          <t>2026-04-09</t>
        </is>
      </c>
      <c r="B194" s="8" t="inlineStr">
        <is>
          <t>UVIX</t>
        </is>
      </c>
      <c r="C194" s="8" t="inlineStr"/>
      <c r="D194" s="8" t="inlineStr">
        <is>
          <t>STK</t>
        </is>
      </c>
      <c r="E194" s="8" t="inlineStr">
        <is>
          <t>USD</t>
        </is>
      </c>
      <c r="F194" s="8" t="inlineStr">
        <is>
          <t>BUY</t>
        </is>
      </c>
      <c r="G194" s="8" t="n">
        <v>35</v>
      </c>
      <c r="H194" s="9" t="n">
        <v>6.775</v>
      </c>
      <c r="I194" s="10" t="n">
        <v>0.35725725</v>
      </c>
      <c r="J194" s="10" t="n">
        <v>237.125</v>
      </c>
      <c r="K194" s="10" t="n">
        <v>0</v>
      </c>
      <c r="L194" s="8" t="inlineStr">
        <is>
          <t>IBKRATS</t>
        </is>
      </c>
      <c r="M194" s="8" t="inlineStr">
        <is>
          <t>LIMIT</t>
        </is>
      </c>
    </row>
    <row r="195">
      <c r="A195" s="11" t="inlineStr">
        <is>
          <t>2026-04-09</t>
        </is>
      </c>
      <c r="B195" s="11" t="inlineStr">
        <is>
          <t>UVIX</t>
        </is>
      </c>
      <c r="C195" s="11" t="inlineStr"/>
      <c r="D195" s="11" t="inlineStr">
        <is>
          <t>STK</t>
        </is>
      </c>
      <c r="E195" s="11" t="inlineStr">
        <is>
          <t>USD</t>
        </is>
      </c>
      <c r="F195" s="11" t="inlineStr">
        <is>
          <t>BUY</t>
        </is>
      </c>
      <c r="G195" s="11" t="n">
        <v>5</v>
      </c>
      <c r="H195" s="12" t="n">
        <v>6.775</v>
      </c>
      <c r="I195" s="13" t="n">
        <v>0.001</v>
      </c>
      <c r="J195" s="13" t="n">
        <v>33.875</v>
      </c>
      <c r="K195" s="13" t="n">
        <v>0</v>
      </c>
      <c r="L195" s="11" t="inlineStr">
        <is>
          <t>IBKRATS</t>
        </is>
      </c>
      <c r="M195" s="11" t="inlineStr">
        <is>
          <t>LIMIT</t>
        </is>
      </c>
    </row>
    <row r="196">
      <c r="A196" s="8" t="inlineStr">
        <is>
          <t>2026-04-13</t>
        </is>
      </c>
      <c r="B196" s="8" t="inlineStr">
        <is>
          <t>SBIT</t>
        </is>
      </c>
      <c r="C196" s="8" t="inlineStr">
        <is>
          <t>PROSHARES ULTRASHORT BITCOIN</t>
        </is>
      </c>
      <c r="D196" s="8" t="inlineStr">
        <is>
          <t>STK</t>
        </is>
      </c>
      <c r="E196" s="8" t="inlineStr">
        <is>
          <t>USD</t>
        </is>
      </c>
      <c r="F196" s="8" t="inlineStr">
        <is>
          <t>BUY</t>
        </is>
      </c>
      <c r="G196" s="8" t="n">
        <v>3</v>
      </c>
      <c r="H196" s="9" t="n">
        <v>49.27</v>
      </c>
      <c r="I196" s="10" t="n">
        <v>0.34605725</v>
      </c>
      <c r="J196" s="10" t="n">
        <v>147.81</v>
      </c>
      <c r="K196" s="10" t="n">
        <v>0</v>
      </c>
      <c r="L196" s="8" t="inlineStr">
        <is>
          <t>ARCA</t>
        </is>
      </c>
      <c r="M196" s="8" t="inlineStr">
        <is>
          <t>LIMIT</t>
        </is>
      </c>
    </row>
    <row r="197">
      <c r="A197" s="11" t="inlineStr">
        <is>
          <t>2026-04-15</t>
        </is>
      </c>
      <c r="B197" s="11" t="inlineStr">
        <is>
          <t>TSLZ</t>
        </is>
      </c>
      <c r="C197" s="11" t="inlineStr">
        <is>
          <t>T-REX 2X INVERSE TESLA DLY</t>
        </is>
      </c>
      <c r="D197" s="11" t="inlineStr">
        <is>
          <t>STK</t>
        </is>
      </c>
      <c r="E197" s="11" t="inlineStr">
        <is>
          <t>USD</t>
        </is>
      </c>
      <c r="F197" s="11" t="inlineStr">
        <is>
          <t>SELL</t>
        </is>
      </c>
      <c r="G197" s="11" t="n">
        <v>10</v>
      </c>
      <c r="H197" s="12" t="n">
        <v>13.6</v>
      </c>
      <c r="I197" s="13" t="n">
        <v>0.38700885</v>
      </c>
      <c r="J197" s="13" t="n">
        <v>136</v>
      </c>
      <c r="K197" s="13" t="n">
        <v>-28.539266</v>
      </c>
      <c r="L197" s="11" t="inlineStr">
        <is>
          <t>PEARL</t>
        </is>
      </c>
      <c r="M197" s="11" t="inlineStr">
        <is>
          <t>LIMIT</t>
        </is>
      </c>
    </row>
    <row r="198">
      <c r="A198" s="8" t="inlineStr">
        <is>
          <t>2026-04-16</t>
        </is>
      </c>
      <c r="B198" s="8" t="inlineStr">
        <is>
          <t>USO</t>
        </is>
      </c>
      <c r="C198" s="8" t="inlineStr">
        <is>
          <t>UNITED STATES OIL FUND LP</t>
        </is>
      </c>
      <c r="D198" s="8" t="inlineStr">
        <is>
          <t>STK</t>
        </is>
      </c>
      <c r="E198" s="8" t="inlineStr">
        <is>
          <t>USD</t>
        </is>
      </c>
      <c r="F198" s="8" t="inlineStr">
        <is>
          <t>BUY</t>
        </is>
      </c>
      <c r="G198" s="8" t="n">
        <v>1</v>
      </c>
      <c r="H198" s="9" t="n">
        <v>126.3988</v>
      </c>
      <c r="I198" s="10" t="n">
        <v>0.35045725</v>
      </c>
      <c r="J198" s="10" t="n">
        <v>126.3988</v>
      </c>
      <c r="K198" s="10" t="n">
        <v>0</v>
      </c>
      <c r="L198" s="8" t="inlineStr">
        <is>
          <t>DARK</t>
        </is>
      </c>
      <c r="M198" s="8" t="inlineStr">
        <is>
          <t>LIMIT</t>
        </is>
      </c>
    </row>
    <row r="199">
      <c r="A199" s="11" t="inlineStr">
        <is>
          <t>2026-04-16</t>
        </is>
      </c>
      <c r="B199" s="11" t="inlineStr">
        <is>
          <t>SLV</t>
        </is>
      </c>
      <c r="C199" s="11" t="inlineStr">
        <is>
          <t>ISHARES SILVER TRUST</t>
        </is>
      </c>
      <c r="D199" s="11" t="inlineStr">
        <is>
          <t>STK</t>
        </is>
      </c>
      <c r="E199" s="11" t="inlineStr">
        <is>
          <t>USD</t>
        </is>
      </c>
      <c r="F199" s="11" t="inlineStr">
        <is>
          <t>SELL</t>
        </is>
      </c>
      <c r="G199" s="11" t="n">
        <v>10</v>
      </c>
      <c r="H199" s="12" t="n">
        <v>71.14</v>
      </c>
      <c r="I199" s="13" t="n">
        <v>0.33686209</v>
      </c>
      <c r="J199" s="13" t="n">
        <v>711.4</v>
      </c>
      <c r="K199" s="13" t="n">
        <v>55.617881</v>
      </c>
      <c r="L199" s="11" t="inlineStr">
        <is>
          <t>DRCTEDGE</t>
        </is>
      </c>
      <c r="M199" s="11" t="inlineStr">
        <is>
          <t>LIMIT</t>
        </is>
      </c>
    </row>
    <row r="200">
      <c r="A200" s="8" t="inlineStr">
        <is>
          <t>2026-04-17</t>
        </is>
      </c>
      <c r="B200" s="8" t="inlineStr">
        <is>
          <t>USO</t>
        </is>
      </c>
      <c r="C200" s="8" t="inlineStr">
        <is>
          <t>UNITED STATES OIL FUND LP</t>
        </is>
      </c>
      <c r="D200" s="8" t="inlineStr">
        <is>
          <t>STK</t>
        </is>
      </c>
      <c r="E200" s="8" t="inlineStr">
        <is>
          <t>USD</t>
        </is>
      </c>
      <c r="F200" s="8" t="inlineStr">
        <is>
          <t>SELL</t>
        </is>
      </c>
      <c r="G200" s="8" t="n">
        <v>1</v>
      </c>
      <c r="H200" s="9" t="n">
        <v>116.54</v>
      </c>
      <c r="I200" s="10" t="n">
        <v>0.35145297</v>
      </c>
      <c r="J200" s="10" t="n">
        <v>116.54</v>
      </c>
      <c r="K200" s="10" t="n">
        <v>-10.56071</v>
      </c>
      <c r="L200" s="8" t="inlineStr">
        <is>
          <t>ARCA</t>
        </is>
      </c>
      <c r="M200" s="8" t="inlineStr">
        <is>
          <t>LIMIT</t>
        </is>
      </c>
    </row>
    <row r="201">
      <c r="A201" s="11" t="inlineStr">
        <is>
          <t>2026-04-17</t>
        </is>
      </c>
      <c r="B201" s="11" t="inlineStr">
        <is>
          <t>SBIT</t>
        </is>
      </c>
      <c r="C201" s="11" t="inlineStr">
        <is>
          <t>PROSHARES ULTRASHORT BITCOIN</t>
        </is>
      </c>
      <c r="D201" s="11" t="inlineStr">
        <is>
          <t>STK</t>
        </is>
      </c>
      <c r="E201" s="11" t="inlineStr">
        <is>
          <t>USD</t>
        </is>
      </c>
      <c r="F201" s="11" t="inlineStr">
        <is>
          <t>SELL</t>
        </is>
      </c>
      <c r="G201" s="11" t="n">
        <v>3</v>
      </c>
      <c r="H201" s="12" t="n">
        <v>43.1</v>
      </c>
      <c r="I201" s="13" t="n">
        <v>0.34930583</v>
      </c>
      <c r="J201" s="13" t="n">
        <v>129.3</v>
      </c>
      <c r="K201" s="13" t="n">
        <v>-19.205363</v>
      </c>
      <c r="L201" s="11" t="inlineStr">
        <is>
          <t>ARCA</t>
        </is>
      </c>
      <c r="M201" s="11" t="inlineStr">
        <is>
          <t>LIMIT</t>
        </is>
      </c>
    </row>
    <row r="202">
      <c r="A202" s="8" t="inlineStr">
        <is>
          <t>2026-04-17</t>
        </is>
      </c>
      <c r="B202" s="8" t="inlineStr">
        <is>
          <t>FAZ</t>
        </is>
      </c>
      <c r="C202" s="8" t="inlineStr">
        <is>
          <t>DIREX DLY FIN BEA 3X ETF-USD</t>
        </is>
      </c>
      <c r="D202" s="8" t="inlineStr">
        <is>
          <t>STK</t>
        </is>
      </c>
      <c r="E202" s="8" t="inlineStr">
        <is>
          <t>USD</t>
        </is>
      </c>
      <c r="F202" s="8" t="inlineStr">
        <is>
          <t>SELL</t>
        </is>
      </c>
      <c r="G202" s="8" t="n">
        <v>10</v>
      </c>
      <c r="H202" s="9" t="n">
        <v>42.18</v>
      </c>
      <c r="I202" s="10" t="n">
        <v>0.36289633</v>
      </c>
      <c r="J202" s="10" t="n">
        <v>421.8</v>
      </c>
      <c r="K202" s="10" t="n">
        <v>-34.899153</v>
      </c>
      <c r="L202" s="8" t="inlineStr">
        <is>
          <t>DARK</t>
        </is>
      </c>
      <c r="M202" s="8" t="inlineStr">
        <is>
          <t>LIMIT</t>
        </is>
      </c>
    </row>
    <row r="203">
      <c r="A203" s="11" t="inlineStr">
        <is>
          <t>2026-04-20</t>
        </is>
      </c>
      <c r="B203" s="11" t="inlineStr">
        <is>
          <t>CF</t>
        </is>
      </c>
      <c r="C203" s="11" t="inlineStr">
        <is>
          <t>CF INDUSTRIES HOLDINGS INC</t>
        </is>
      </c>
      <c r="D203" s="11" t="inlineStr">
        <is>
          <t>STK</t>
        </is>
      </c>
      <c r="E203" s="11" t="inlineStr">
        <is>
          <t>USD</t>
        </is>
      </c>
      <c r="F203" s="11" t="inlineStr">
        <is>
          <t>BUY</t>
        </is>
      </c>
      <c r="G203" s="11" t="n">
        <v>1</v>
      </c>
      <c r="H203" s="12" t="n">
        <v>115.71</v>
      </c>
      <c r="I203" s="13" t="n">
        <v>0.35045725</v>
      </c>
      <c r="J203" s="13" t="n">
        <v>115.71</v>
      </c>
      <c r="K203" s="13" t="n">
        <v>0</v>
      </c>
      <c r="L203" s="11" t="inlineStr">
        <is>
          <t>IBKRATS</t>
        </is>
      </c>
      <c r="M203" s="11" t="inlineStr">
        <is>
          <t>LIMIT</t>
        </is>
      </c>
    </row>
    <row r="204">
      <c r="A204" s="8" t="inlineStr">
        <is>
          <t>2026-04-20</t>
        </is>
      </c>
      <c r="B204" s="8" t="inlineStr">
        <is>
          <t>INR</t>
        </is>
      </c>
      <c r="C204" s="8" t="inlineStr">
        <is>
          <t>INFINITY NATURAL RESOUR-CL A</t>
        </is>
      </c>
      <c r="D204" s="8" t="inlineStr">
        <is>
          <t>STK</t>
        </is>
      </c>
      <c r="E204" s="8" t="inlineStr">
        <is>
          <t>USD</t>
        </is>
      </c>
      <c r="F204" s="8" t="inlineStr">
        <is>
          <t>BUY</t>
        </is>
      </c>
      <c r="G204" s="8" t="n">
        <v>7</v>
      </c>
      <c r="H204" s="9" t="n">
        <v>15.615</v>
      </c>
      <c r="I204" s="10" t="n">
        <v>0.35165725</v>
      </c>
      <c r="J204" s="10" t="n">
        <v>109.305</v>
      </c>
      <c r="K204" s="10" t="n">
        <v>0</v>
      </c>
      <c r="L204" s="8" t="inlineStr">
        <is>
          <t>DARK</t>
        </is>
      </c>
      <c r="M204" s="8" t="inlineStr">
        <is>
          <t>LIMIT</t>
        </is>
      </c>
    </row>
    <row r="205">
      <c r="A205" s="11" t="inlineStr">
        <is>
          <t>2026-04-21</t>
        </is>
      </c>
      <c r="B205" s="11" t="inlineStr">
        <is>
          <t>ZSL</t>
        </is>
      </c>
      <c r="C205" s="11" t="inlineStr">
        <is>
          <t>PROSHARES ULTRASHORT SILVER</t>
        </is>
      </c>
      <c r="D205" s="11" t="inlineStr">
        <is>
          <t>STK</t>
        </is>
      </c>
      <c r="E205" s="11" t="inlineStr">
        <is>
          <t>USD</t>
        </is>
      </c>
      <c r="F205" s="11" t="inlineStr">
        <is>
          <t>BUY</t>
        </is>
      </c>
      <c r="G205" s="11" t="n">
        <v>2</v>
      </c>
      <c r="H205" s="12" t="n">
        <v>20.205</v>
      </c>
      <c r="I205" s="13" t="n">
        <v>0.35065725</v>
      </c>
      <c r="J205" s="13" t="n">
        <v>40.41</v>
      </c>
      <c r="K205" s="13" t="n">
        <v>0</v>
      </c>
      <c r="L205" s="11" t="inlineStr">
        <is>
          <t>DARK</t>
        </is>
      </c>
      <c r="M205" s="11" t="inlineStr">
        <is>
          <t>LIMIT</t>
        </is>
      </c>
    </row>
    <row r="206">
      <c r="A206" s="8" t="inlineStr">
        <is>
          <t>2026-04-21</t>
        </is>
      </c>
      <c r="B206" s="8" t="inlineStr">
        <is>
          <t>ZSL</t>
        </is>
      </c>
      <c r="C206" s="8" t="inlineStr">
        <is>
          <t>PROSHARES ULTRASHORT SILVER</t>
        </is>
      </c>
      <c r="D206" s="8" t="inlineStr">
        <is>
          <t>STK</t>
        </is>
      </c>
      <c r="E206" s="8" t="inlineStr">
        <is>
          <t>USD</t>
        </is>
      </c>
      <c r="F206" s="8" t="inlineStr">
        <is>
          <t>BUY</t>
        </is>
      </c>
      <c r="G206" s="8" t="n">
        <v>2</v>
      </c>
      <c r="H206" s="9" t="n">
        <v>20.845</v>
      </c>
      <c r="I206" s="10" t="n">
        <v>0.35065725</v>
      </c>
      <c r="J206" s="10" t="n">
        <v>41.69</v>
      </c>
      <c r="K206" s="10" t="n">
        <v>0</v>
      </c>
      <c r="L206" s="8" t="inlineStr">
        <is>
          <t>DARK</t>
        </is>
      </c>
      <c r="M206" s="8" t="inlineStr">
        <is>
          <t>LIMIT</t>
        </is>
      </c>
    </row>
    <row r="207">
      <c r="A207" s="11" t="inlineStr">
        <is>
          <t>2026-04-21</t>
        </is>
      </c>
      <c r="B207" s="11" t="inlineStr">
        <is>
          <t>VG</t>
        </is>
      </c>
      <c r="C207" s="11" t="inlineStr">
        <is>
          <t>VENTURE GLOBAL INC-CL A</t>
        </is>
      </c>
      <c r="D207" s="11" t="inlineStr">
        <is>
          <t>STK</t>
        </is>
      </c>
      <c r="E207" s="11" t="inlineStr">
        <is>
          <t>USD</t>
        </is>
      </c>
      <c r="F207" s="11" t="inlineStr">
        <is>
          <t>BUY</t>
        </is>
      </c>
      <c r="G207" s="11" t="n">
        <v>10</v>
      </c>
      <c r="H207" s="12" t="n">
        <v>11.985</v>
      </c>
      <c r="I207" s="13" t="n">
        <v>0.35225725</v>
      </c>
      <c r="J207" s="13" t="n">
        <v>119.85</v>
      </c>
      <c r="K207" s="13" t="n">
        <v>0</v>
      </c>
      <c r="L207" s="11" t="inlineStr">
        <is>
          <t>IBKRATS</t>
        </is>
      </c>
      <c r="M207" s="11" t="inlineStr">
        <is>
          <t>LIMIT</t>
        </is>
      </c>
    </row>
    <row r="208">
      <c r="A208" s="8" t="inlineStr">
        <is>
          <t>2026-04-21</t>
        </is>
      </c>
      <c r="B208" s="8" t="inlineStr">
        <is>
          <t>ZSL</t>
        </is>
      </c>
      <c r="C208" s="8" t="inlineStr">
        <is>
          <t>PROSHARES ULTRASHORT SILVER</t>
        </is>
      </c>
      <c r="D208" s="8" t="inlineStr">
        <is>
          <t>STK</t>
        </is>
      </c>
      <c r="E208" s="8" t="inlineStr">
        <is>
          <t>USD</t>
        </is>
      </c>
      <c r="F208" s="8" t="inlineStr">
        <is>
          <t>SELL</t>
        </is>
      </c>
      <c r="G208" s="8" t="n">
        <v>2</v>
      </c>
      <c r="H208" s="9" t="n">
        <v>21.01</v>
      </c>
      <c r="I208" s="10" t="n">
        <v>0.35191286</v>
      </c>
      <c r="J208" s="10" t="n">
        <v>42.02</v>
      </c>
      <c r="K208" s="10" t="n">
        <v>0.90743</v>
      </c>
      <c r="L208" s="8" t="inlineStr">
        <is>
          <t>IBKRATS</t>
        </is>
      </c>
      <c r="M208" s="8" t="inlineStr">
        <is>
          <t>LIMIT</t>
        </is>
      </c>
    </row>
    <row r="209">
      <c r="A209" s="11" t="inlineStr">
        <is>
          <t>2026-04-23</t>
        </is>
      </c>
      <c r="B209" s="11" t="inlineStr">
        <is>
          <t>GLD</t>
        </is>
      </c>
      <c r="C209" s="11" t="inlineStr">
        <is>
          <t>SPDR GOLD SHARES</t>
        </is>
      </c>
      <c r="D209" s="11" t="inlineStr">
        <is>
          <t>STK</t>
        </is>
      </c>
      <c r="E209" s="11" t="inlineStr">
        <is>
          <t>USD</t>
        </is>
      </c>
      <c r="F209" s="11" t="inlineStr">
        <is>
          <t>SELL</t>
        </is>
      </c>
      <c r="G209" s="11" t="n">
        <v>3</v>
      </c>
      <c r="H209" s="12" t="n">
        <v>432.47</v>
      </c>
      <c r="I209" s="13" t="n">
        <v>0.3733689</v>
      </c>
      <c r="J209" s="13" t="n">
        <v>1297.41</v>
      </c>
      <c r="K209" s="13" t="n">
        <v>18.273245</v>
      </c>
      <c r="L209" s="11" t="inlineStr">
        <is>
          <t>ARCA</t>
        </is>
      </c>
      <c r="M209" s="11" t="inlineStr">
        <is>
          <t>LIMIT</t>
        </is>
      </c>
    </row>
    <row r="210">
      <c r="A210" s="8" t="inlineStr">
        <is>
          <t>2026-04-23</t>
        </is>
      </c>
      <c r="B210" s="8" t="inlineStr">
        <is>
          <t>INR</t>
        </is>
      </c>
      <c r="C210" s="8" t="inlineStr">
        <is>
          <t>INFINITY NATURAL RESOUR-CL A</t>
        </is>
      </c>
      <c r="D210" s="8" t="inlineStr">
        <is>
          <t>STK</t>
        </is>
      </c>
      <c r="E210" s="8" t="inlineStr">
        <is>
          <t>USD</t>
        </is>
      </c>
      <c r="F210" s="8" t="inlineStr">
        <is>
          <t>SELL</t>
        </is>
      </c>
      <c r="G210" s="8" t="n">
        <v>7</v>
      </c>
      <c r="H210" s="9" t="n">
        <v>15.84</v>
      </c>
      <c r="I210" s="10" t="n">
        <v>0.35530638</v>
      </c>
      <c r="J210" s="10" t="n">
        <v>110.88</v>
      </c>
      <c r="K210" s="10" t="n">
        <v>0.8680369999999999</v>
      </c>
      <c r="L210" s="8" t="inlineStr">
        <is>
          <t>IBKRATS</t>
        </is>
      </c>
      <c r="M210" s="8" t="inlineStr">
        <is>
          <t>LIMIT</t>
        </is>
      </c>
    </row>
    <row r="211">
      <c r="A211" s="11" t="inlineStr">
        <is>
          <t>2026-04-23</t>
        </is>
      </c>
      <c r="B211" s="11" t="inlineStr">
        <is>
          <t>VG</t>
        </is>
      </c>
      <c r="C211" s="11" t="inlineStr">
        <is>
          <t>VENTURE GLOBAL INC-CL A</t>
        </is>
      </c>
      <c r="D211" s="11" t="inlineStr">
        <is>
          <t>STK</t>
        </is>
      </c>
      <c r="E211" s="11" t="inlineStr">
        <is>
          <t>USD</t>
        </is>
      </c>
      <c r="F211" s="11" t="inlineStr">
        <is>
          <t>BUY</t>
        </is>
      </c>
      <c r="G211" s="11" t="n">
        <v>10</v>
      </c>
      <c r="H211" s="12" t="n">
        <v>12.788</v>
      </c>
      <c r="I211" s="13" t="n">
        <v>0.35225725</v>
      </c>
      <c r="J211" s="13" t="n">
        <v>127.88</v>
      </c>
      <c r="K211" s="13" t="n">
        <v>0</v>
      </c>
      <c r="L211" s="11" t="inlineStr">
        <is>
          <t>DARK</t>
        </is>
      </c>
      <c r="M211" s="11" t="inlineStr">
        <is>
          <t>LIMIT</t>
        </is>
      </c>
    </row>
    <row r="212">
      <c r="A212" s="8" t="inlineStr">
        <is>
          <t>2026-04-23</t>
        </is>
      </c>
      <c r="B212" s="8" t="inlineStr">
        <is>
          <t>TSLZ</t>
        </is>
      </c>
      <c r="C212" s="8" t="inlineStr">
        <is>
          <t>T-REX 2X INVERSE TESLA DLY</t>
        </is>
      </c>
      <c r="D212" s="8" t="inlineStr">
        <is>
          <t>STK</t>
        </is>
      </c>
      <c r="E212" s="8" t="inlineStr">
        <is>
          <t>USD</t>
        </is>
      </c>
      <c r="F212" s="8" t="inlineStr">
        <is>
          <t>BUY</t>
        </is>
      </c>
      <c r="G212" s="8" t="n">
        <v>7</v>
      </c>
      <c r="H212" s="9" t="n">
        <v>15.075</v>
      </c>
      <c r="I212" s="10" t="n">
        <v>0.35165725</v>
      </c>
      <c r="J212" s="10" t="n">
        <v>105.525</v>
      </c>
      <c r="K212" s="10" t="n">
        <v>0</v>
      </c>
      <c r="L212" s="8" t="inlineStr">
        <is>
          <t>IBKRATS</t>
        </is>
      </c>
      <c r="M212" s="8" t="inlineStr">
        <is>
          <t>LIMIT</t>
        </is>
      </c>
    </row>
    <row r="213">
      <c r="A213" s="11" t="inlineStr">
        <is>
          <t>2026-04-24</t>
        </is>
      </c>
      <c r="B213" s="11" t="inlineStr">
        <is>
          <t>ZSL</t>
        </is>
      </c>
      <c r="C213" s="11" t="inlineStr">
        <is>
          <t>PROSHARES ULTRASHORT SILVER</t>
        </is>
      </c>
      <c r="D213" s="11" t="inlineStr">
        <is>
          <t>STK</t>
        </is>
      </c>
      <c r="E213" s="11" t="inlineStr">
        <is>
          <t>USD</t>
        </is>
      </c>
      <c r="F213" s="11" t="inlineStr">
        <is>
          <t>BUY</t>
        </is>
      </c>
      <c r="G213" s="11" t="n">
        <v>2</v>
      </c>
      <c r="H213" s="12" t="n">
        <v>21.405</v>
      </c>
      <c r="I213" s="13" t="n">
        <v>0.35065725</v>
      </c>
      <c r="J213" s="13" t="n">
        <v>42.81</v>
      </c>
      <c r="K213" s="13" t="n">
        <v>0</v>
      </c>
      <c r="L213" s="11" t="inlineStr">
        <is>
          <t>DARK</t>
        </is>
      </c>
      <c r="M213" s="11" t="inlineStr">
        <is>
          <t>LIMIT</t>
        </is>
      </c>
    </row>
    <row r="214">
      <c r="A214" s="8" t="inlineStr">
        <is>
          <t>2026-04-28</t>
        </is>
      </c>
      <c r="B214" s="8" t="inlineStr">
        <is>
          <t>WEAT</t>
        </is>
      </c>
      <c r="C214" s="8" t="inlineStr">
        <is>
          <t>TEUCRIUM WHEAT FUND</t>
        </is>
      </c>
      <c r="D214" s="8" t="inlineStr">
        <is>
          <t>STK</t>
        </is>
      </c>
      <c r="E214" s="8" t="inlineStr">
        <is>
          <t>USD</t>
        </is>
      </c>
      <c r="F214" s="8" t="inlineStr">
        <is>
          <t>BUY</t>
        </is>
      </c>
      <c r="G214" s="8" t="n">
        <v>25</v>
      </c>
      <c r="H214" s="9" t="n">
        <v>24.73</v>
      </c>
      <c r="I214" s="10" t="n">
        <v>0.31025725</v>
      </c>
      <c r="J214" s="10" t="n">
        <v>618.25</v>
      </c>
      <c r="K214" s="10" t="n">
        <v>0</v>
      </c>
      <c r="L214" s="8" t="inlineStr">
        <is>
          <t>NASDAQ</t>
        </is>
      </c>
      <c r="M214" s="8" t="inlineStr">
        <is>
          <t>LIMIT</t>
        </is>
      </c>
    </row>
    <row r="215">
      <c r="A215" s="11" t="inlineStr">
        <is>
          <t>2026-04-28</t>
        </is>
      </c>
      <c r="B215" s="11" t="inlineStr">
        <is>
          <t>SOXS</t>
        </is>
      </c>
      <c r="C215" s="11" t="inlineStr">
        <is>
          <t>DIREX DAI SEMI BE 3X ETF-USD</t>
        </is>
      </c>
      <c r="D215" s="11" t="inlineStr">
        <is>
          <t>STK</t>
        </is>
      </c>
      <c r="E215" s="11" t="inlineStr">
        <is>
          <t>USD</t>
        </is>
      </c>
      <c r="F215" s="11" t="inlineStr">
        <is>
          <t>BUY</t>
        </is>
      </c>
      <c r="G215" s="11" t="n">
        <v>8</v>
      </c>
      <c r="H215" s="12" t="n">
        <v>15.528</v>
      </c>
      <c r="I215" s="13" t="n">
        <v>0.35185725</v>
      </c>
      <c r="J215" s="13" t="n">
        <v>124.224</v>
      </c>
      <c r="K215" s="13" t="n">
        <v>0</v>
      </c>
      <c r="L215" s="11" t="inlineStr">
        <is>
          <t>DARK</t>
        </is>
      </c>
      <c r="M215" s="11" t="inlineStr">
        <is>
          <t>LIMIT</t>
        </is>
      </c>
    </row>
    <row r="216">
      <c r="A216" s="8" t="inlineStr">
        <is>
          <t>2026-04-29</t>
        </is>
      </c>
      <c r="B216" s="8" t="inlineStr">
        <is>
          <t>WEAT</t>
        </is>
      </c>
      <c r="C216" s="8" t="inlineStr">
        <is>
          <t>TEUCRIUM WHEAT FUND</t>
        </is>
      </c>
      <c r="D216" s="8" t="inlineStr">
        <is>
          <t>STK</t>
        </is>
      </c>
      <c r="E216" s="8" t="inlineStr">
        <is>
          <t>USD</t>
        </is>
      </c>
      <c r="F216" s="8" t="inlineStr">
        <is>
          <t>SELL</t>
        </is>
      </c>
      <c r="G216" s="8" t="n">
        <v>10</v>
      </c>
      <c r="H216" s="9" t="n">
        <v>24.595</v>
      </c>
      <c r="I216" s="10" t="n">
        <v>0.35927382</v>
      </c>
      <c r="J216" s="10" t="n">
        <v>245.95</v>
      </c>
      <c r="K216" s="10" t="n">
        <v>12.588469</v>
      </c>
      <c r="L216" s="8" t="inlineStr">
        <is>
          <t>DARK</t>
        </is>
      </c>
      <c r="M216" s="8" t="inlineStr">
        <is>
          <t>LIMIT</t>
        </is>
      </c>
    </row>
    <row r="217">
      <c r="A217" s="11" t="inlineStr">
        <is>
          <t>2026-04-30</t>
        </is>
      </c>
      <c r="B217" s="11" t="inlineStr">
        <is>
          <t>ZSL</t>
        </is>
      </c>
      <c r="C217" s="11" t="inlineStr">
        <is>
          <t>PROSHARES ULTRASHORT SILVER</t>
        </is>
      </c>
      <c r="D217" s="11" t="inlineStr">
        <is>
          <t>STK</t>
        </is>
      </c>
      <c r="E217" s="11" t="inlineStr">
        <is>
          <t>USD</t>
        </is>
      </c>
      <c r="F217" s="11" t="inlineStr">
        <is>
          <t>SELL</t>
        </is>
      </c>
      <c r="G217" s="11" t="n">
        <v>4</v>
      </c>
      <c r="H217" s="12" t="n">
        <v>22.61</v>
      </c>
      <c r="I217" s="13" t="n">
        <v>0.36570031</v>
      </c>
      <c r="J217" s="13" t="n">
        <v>90.44</v>
      </c>
      <c r="K217" s="13" t="n">
        <v>4.872986</v>
      </c>
      <c r="L217" s="11" t="inlineStr">
        <is>
          <t>NASDAQ</t>
        </is>
      </c>
      <c r="M217" s="11" t="inlineStr">
        <is>
          <t>LIMIT</t>
        </is>
      </c>
    </row>
    <row r="218">
      <c r="A218" s="8" t="inlineStr">
        <is>
          <t>2026-05-01</t>
        </is>
      </c>
      <c r="B218" s="8" t="inlineStr">
        <is>
          <t>SOXS</t>
        </is>
      </c>
      <c r="C218" s="8" t="inlineStr">
        <is>
          <t>DIREX DAI SEMI BE 3X ETF-USD</t>
        </is>
      </c>
      <c r="D218" s="8" t="inlineStr">
        <is>
          <t>STK</t>
        </is>
      </c>
      <c r="E218" s="8" t="inlineStr">
        <is>
          <t>USD</t>
        </is>
      </c>
      <c r="F218" s="8" t="inlineStr">
        <is>
          <t>SELL</t>
        </is>
      </c>
      <c r="G218" s="8" t="n">
        <v>4</v>
      </c>
      <c r="H218" s="9" t="n">
        <v>12.9807</v>
      </c>
      <c r="I218" s="10" t="n">
        <v>0.35291886</v>
      </c>
      <c r="J218" s="10" t="n">
        <v>51.9228</v>
      </c>
      <c r="K218" s="10" t="n">
        <v>-10.718047</v>
      </c>
      <c r="L218" s="8" t="inlineStr">
        <is>
          <t>DARK</t>
        </is>
      </c>
      <c r="M218" s="8" t="inlineStr">
        <is>
          <t>LIMIT</t>
        </is>
      </c>
    </row>
    <row r="219">
      <c r="A219" s="11" t="inlineStr">
        <is>
          <t>2026-05-06</t>
        </is>
      </c>
      <c r="B219" s="11" t="inlineStr">
        <is>
          <t>ABXXF</t>
        </is>
      </c>
      <c r="C219" s="11" t="inlineStr">
        <is>
          <t>ABAXX TECHNOLOGIES IN</t>
        </is>
      </c>
      <c r="D219" s="11" t="inlineStr">
        <is>
          <t>STK</t>
        </is>
      </c>
      <c r="E219" s="11" t="inlineStr">
        <is>
          <t>USD</t>
        </is>
      </c>
      <c r="F219" s="11" t="inlineStr">
        <is>
          <t>SELL</t>
        </is>
      </c>
      <c r="G219" s="11" t="n">
        <v>4</v>
      </c>
      <c r="H219" s="12" t="n">
        <v>38.1</v>
      </c>
      <c r="I219" s="13" t="n">
        <v>0.37017681</v>
      </c>
      <c r="J219" s="13" t="n">
        <v>152.4</v>
      </c>
      <c r="K219" s="13" t="n">
        <v>42.346766</v>
      </c>
      <c r="L219" s="11" t="inlineStr">
        <is>
          <t>OTCLNKECN</t>
        </is>
      </c>
      <c r="M219" s="11" t="inlineStr">
        <is>
          <t>MARKET</t>
        </is>
      </c>
    </row>
    <row r="220">
      <c r="A220" s="8" t="inlineStr">
        <is>
          <t>2026-05-07</t>
        </is>
      </c>
      <c r="B220" s="8" t="inlineStr">
        <is>
          <t>SOXS</t>
        </is>
      </c>
      <c r="C220" s="8" t="inlineStr">
        <is>
          <t>DIREX DAI SEMI BE 3X ETF-USD</t>
        </is>
      </c>
      <c r="D220" s="8" t="inlineStr">
        <is>
          <t>STK</t>
        </is>
      </c>
      <c r="E220" s="8" t="inlineStr">
        <is>
          <t>USD</t>
        </is>
      </c>
      <c r="F220" s="8" t="inlineStr">
        <is>
          <t>BUY</t>
        </is>
      </c>
      <c r="G220" s="8" t="n">
        <v>4</v>
      </c>
      <c r="H220" s="9" t="n">
        <v>10.75</v>
      </c>
      <c r="I220" s="10" t="n">
        <v>0.36306925</v>
      </c>
      <c r="J220" s="10" t="n">
        <v>43</v>
      </c>
      <c r="K220" s="10" t="n">
        <v>0</v>
      </c>
      <c r="L220" s="8" t="inlineStr">
        <is>
          <t>IBKRATS</t>
        </is>
      </c>
      <c r="M220" s="8" t="inlineStr">
        <is>
          <t>LIMIT</t>
        </is>
      </c>
    </row>
    <row r="221">
      <c r="A221" s="11" t="inlineStr">
        <is>
          <t>2026-05-07</t>
        </is>
      </c>
      <c r="B221" s="11" t="inlineStr">
        <is>
          <t>ZSL</t>
        </is>
      </c>
      <c r="C221" s="11" t="inlineStr">
        <is>
          <t>PROSHARES ULTRASHORT SILVER</t>
        </is>
      </c>
      <c r="D221" s="11" t="inlineStr">
        <is>
          <t>STK</t>
        </is>
      </c>
      <c r="E221" s="11" t="inlineStr">
        <is>
          <t>USD</t>
        </is>
      </c>
      <c r="F221" s="11" t="inlineStr">
        <is>
          <t>BUY</t>
        </is>
      </c>
      <c r="G221" s="11" t="n">
        <v>5</v>
      </c>
      <c r="H221" s="12" t="n">
        <v>19.34</v>
      </c>
      <c r="I221" s="13" t="n">
        <v>0.34327225</v>
      </c>
      <c r="J221" s="13" t="n">
        <v>96.7</v>
      </c>
      <c r="K221" s="13" t="n">
        <v>0</v>
      </c>
      <c r="L221" s="11" t="inlineStr">
        <is>
          <t>ARCA</t>
        </is>
      </c>
      <c r="M221" s="11" t="inlineStr">
        <is>
          <t>LIMIT</t>
        </is>
      </c>
    </row>
    <row r="222">
      <c r="A222" s="8" t="inlineStr">
        <is>
          <t>2026-05-08</t>
        </is>
      </c>
      <c r="B222" s="8" t="inlineStr">
        <is>
          <t>ZSL</t>
        </is>
      </c>
      <c r="C222" s="8" t="inlineStr">
        <is>
          <t>PROSHARES ULTRASHORT SILVER</t>
        </is>
      </c>
      <c r="D222" s="8" t="inlineStr">
        <is>
          <t>STK</t>
        </is>
      </c>
      <c r="E222" s="8" t="inlineStr">
        <is>
          <t>USD</t>
        </is>
      </c>
      <c r="F222" s="8" t="inlineStr">
        <is>
          <t>SELL</t>
        </is>
      </c>
      <c r="G222" s="8" t="n">
        <v>5</v>
      </c>
      <c r="H222" s="9" t="n">
        <v>18.64</v>
      </c>
      <c r="I222" s="10" t="n">
        <v>0.36916717</v>
      </c>
      <c r="J222" s="10" t="n">
        <v>93.2</v>
      </c>
      <c r="K222" s="10" t="n">
        <v>-4.212439</v>
      </c>
      <c r="L222" s="8" t="inlineStr">
        <is>
          <t>ARCA</t>
        </is>
      </c>
      <c r="M222" s="8" t="inlineStr">
        <is>
          <t>LIMIT</t>
        </is>
      </c>
    </row>
    <row r="223">
      <c r="A223" s="11" t="inlineStr">
        <is>
          <t>2026-05-08</t>
        </is>
      </c>
      <c r="B223" s="11" t="inlineStr">
        <is>
          <t>TSLZ</t>
        </is>
      </c>
      <c r="C223" s="11" t="inlineStr">
        <is>
          <t>T-REX 2X INVERSE TESLA DLY</t>
        </is>
      </c>
      <c r="D223" s="11" t="inlineStr">
        <is>
          <t>STK</t>
        </is>
      </c>
      <c r="E223" s="11" t="inlineStr">
        <is>
          <t>USD</t>
        </is>
      </c>
      <c r="F223" s="11" t="inlineStr">
        <is>
          <t>SELL</t>
        </is>
      </c>
      <c r="G223" s="11" t="n">
        <v>7</v>
      </c>
      <c r="H223" s="12" t="n">
        <v>11.41</v>
      </c>
      <c r="I223" s="13" t="n">
        <v>0.33088857</v>
      </c>
      <c r="J223" s="13" t="n">
        <v>79.87</v>
      </c>
      <c r="K223" s="13" t="n">
        <v>-26.337546</v>
      </c>
      <c r="L223" s="11" t="inlineStr">
        <is>
          <t>MEMX</t>
        </is>
      </c>
      <c r="M223" s="11" t="inlineStr">
        <is>
          <t>LIMIT</t>
        </is>
      </c>
    </row>
    <row r="224">
      <c r="A224" s="8" t="inlineStr">
        <is>
          <t>2026-05-08</t>
        </is>
      </c>
      <c r="B224" s="8" t="inlineStr">
        <is>
          <t>SOXS</t>
        </is>
      </c>
      <c r="C224" s="8" t="inlineStr">
        <is>
          <t>DIREX DAI SEMI BE 3X ETF-USD</t>
        </is>
      </c>
      <c r="D224" s="8" t="inlineStr">
        <is>
          <t>STK</t>
        </is>
      </c>
      <c r="E224" s="8" t="inlineStr">
        <is>
          <t>USD</t>
        </is>
      </c>
      <c r="F224" s="8" t="inlineStr">
        <is>
          <t>SELL</t>
        </is>
      </c>
      <c r="G224" s="8" t="n">
        <v>8</v>
      </c>
      <c r="H224" s="9" t="n">
        <v>8.890000000000001</v>
      </c>
      <c r="I224" s="10" t="n">
        <v>0.33890632</v>
      </c>
      <c r="J224" s="10" t="n">
        <v>71.12</v>
      </c>
      <c r="K224" s="10" t="n">
        <v>-34.869903</v>
      </c>
      <c r="L224" s="8" t="inlineStr">
        <is>
          <t>PSX</t>
        </is>
      </c>
      <c r="M224" s="8" t="inlineStr">
        <is>
          <t>LIMIT</t>
        </is>
      </c>
    </row>
    <row r="225">
      <c r="A225" s="11" t="inlineStr">
        <is>
          <t>2026-05-08</t>
        </is>
      </c>
      <c r="B225" s="11" t="inlineStr">
        <is>
          <t>VG</t>
        </is>
      </c>
      <c r="C225" s="11" t="inlineStr">
        <is>
          <t>VENTURE GLOBAL INC-CL A</t>
        </is>
      </c>
      <c r="D225" s="11" t="inlineStr">
        <is>
          <t>STK</t>
        </is>
      </c>
      <c r="E225" s="11" t="inlineStr">
        <is>
          <t>USD</t>
        </is>
      </c>
      <c r="F225" s="11" t="inlineStr">
        <is>
          <t>SELL</t>
        </is>
      </c>
      <c r="G225" s="11" t="n">
        <v>10</v>
      </c>
      <c r="H225" s="12" t="n">
        <v>11.5607</v>
      </c>
      <c r="I225" s="13" t="n">
        <v>0.35661875</v>
      </c>
      <c r="J225" s="13" t="n">
        <v>115.607</v>
      </c>
      <c r="K225" s="13" t="n">
        <v>-4.951876</v>
      </c>
      <c r="L225" s="11" t="inlineStr">
        <is>
          <t>DARK</t>
        </is>
      </c>
      <c r="M225" s="11" t="inlineStr">
        <is>
          <t>LIMIT</t>
        </is>
      </c>
    </row>
    <row r="226">
      <c r="A226" s="8" t="inlineStr">
        <is>
          <t>2026-05-08</t>
        </is>
      </c>
      <c r="B226" s="8" t="inlineStr">
        <is>
          <t>WOLF</t>
        </is>
      </c>
      <c r="C226" s="8" t="inlineStr">
        <is>
          <t>WOLFSPEED INC</t>
        </is>
      </c>
      <c r="D226" s="8" t="inlineStr">
        <is>
          <t>STK</t>
        </is>
      </c>
      <c r="E226" s="8" t="inlineStr">
        <is>
          <t>USD</t>
        </is>
      </c>
      <c r="F226" s="8" t="inlineStr">
        <is>
          <t>BUY</t>
        </is>
      </c>
      <c r="G226" s="8" t="n">
        <v>2</v>
      </c>
      <c r="H226" s="9" t="n">
        <v>46.5095</v>
      </c>
      <c r="I226" s="10" t="n">
        <v>0.35066325</v>
      </c>
      <c r="J226" s="10" t="n">
        <v>93.01900000000001</v>
      </c>
      <c r="K226" s="10" t="n">
        <v>0</v>
      </c>
      <c r="L226" s="8" t="inlineStr">
        <is>
          <t>DARK</t>
        </is>
      </c>
      <c r="M226" s="8" t="inlineStr">
        <is>
          <t>LIMIT</t>
        </is>
      </c>
    </row>
    <row r="227">
      <c r="A227" s="11" t="inlineStr">
        <is>
          <t>2026-05-08</t>
        </is>
      </c>
      <c r="B227" s="11" t="inlineStr">
        <is>
          <t>AKAM</t>
        </is>
      </c>
      <c r="C227" s="11" t="inlineStr">
        <is>
          <t>AKAMAI TECHNOLOGIES INC</t>
        </is>
      </c>
      <c r="D227" s="11" t="inlineStr">
        <is>
          <t>STK</t>
        </is>
      </c>
      <c r="E227" s="11" t="inlineStr">
        <is>
          <t>USD</t>
        </is>
      </c>
      <c r="F227" s="11" t="inlineStr">
        <is>
          <t>BUY</t>
        </is>
      </c>
      <c r="G227" s="11" t="n">
        <v>1</v>
      </c>
      <c r="H227" s="12" t="n">
        <v>148.5976</v>
      </c>
      <c r="I227" s="13" t="n">
        <v>0.35046025</v>
      </c>
      <c r="J227" s="13" t="n">
        <v>148.5976</v>
      </c>
      <c r="K227" s="13" t="n">
        <v>0</v>
      </c>
      <c r="L227" s="11" t="inlineStr">
        <is>
          <t>DARK</t>
        </is>
      </c>
      <c r="M227" s="11" t="inlineStr">
        <is>
          <t>LIMIT</t>
        </is>
      </c>
    </row>
    <row r="228">
      <c r="A228" s="8" t="inlineStr">
        <is>
          <t>2026-05-11</t>
        </is>
      </c>
      <c r="B228" s="8" t="inlineStr">
        <is>
          <t>COHR</t>
        </is>
      </c>
      <c r="C228" s="8" t="inlineStr">
        <is>
          <t>COHERENT CORP</t>
        </is>
      </c>
      <c r="D228" s="8" t="inlineStr">
        <is>
          <t>STK</t>
        </is>
      </c>
      <c r="E228" s="8" t="inlineStr">
        <is>
          <t>USD</t>
        </is>
      </c>
      <c r="F228" s="8" t="inlineStr">
        <is>
          <t>BUY</t>
        </is>
      </c>
      <c r="G228" s="8" t="n">
        <v>1</v>
      </c>
      <c r="H228" s="9" t="n">
        <v>377.26</v>
      </c>
      <c r="I228" s="10" t="n">
        <v>0.35046025</v>
      </c>
      <c r="J228" s="10" t="n">
        <v>377.26</v>
      </c>
      <c r="K228" s="10" t="n">
        <v>0</v>
      </c>
      <c r="L228" s="8" t="inlineStr">
        <is>
          <t>IBKRATS</t>
        </is>
      </c>
      <c r="M228" s="8" t="inlineStr">
        <is>
          <t>LIMIT</t>
        </is>
      </c>
    </row>
    <row r="229">
      <c r="A229" s="11" t="inlineStr">
        <is>
          <t>2026-05-11</t>
        </is>
      </c>
      <c r="B229" s="11" t="inlineStr">
        <is>
          <t>VG</t>
        </is>
      </c>
      <c r="C229" s="11" t="inlineStr">
        <is>
          <t>VENTURE GLOBAL INC-CL A</t>
        </is>
      </c>
      <c r="D229" s="11" t="inlineStr">
        <is>
          <t>STK</t>
        </is>
      </c>
      <c r="E229" s="11" t="inlineStr">
        <is>
          <t>USD</t>
        </is>
      </c>
      <c r="F229" s="11" t="inlineStr">
        <is>
          <t>SELL</t>
        </is>
      </c>
      <c r="G229" s="11" t="n">
        <v>10</v>
      </c>
      <c r="H229" s="12" t="n">
        <v>11.6907</v>
      </c>
      <c r="I229" s="13" t="n">
        <v>0.35664553</v>
      </c>
      <c r="J229" s="13" t="n">
        <v>116.907</v>
      </c>
      <c r="K229" s="13" t="n">
        <v>-11.681903</v>
      </c>
      <c r="L229" s="11" t="inlineStr">
        <is>
          <t>DARK</t>
        </is>
      </c>
      <c r="M229" s="11" t="inlineStr">
        <is>
          <t>LIMIT</t>
        </is>
      </c>
    </row>
    <row r="230">
      <c r="A230" s="8" t="inlineStr">
        <is>
          <t>2026-05-12</t>
        </is>
      </c>
      <c r="B230" s="8" t="inlineStr">
        <is>
          <t>COHR</t>
        </is>
      </c>
      <c r="C230" s="8" t="inlineStr">
        <is>
          <t>COHERENT CORP</t>
        </is>
      </c>
      <c r="D230" s="8" t="inlineStr">
        <is>
          <t>STK</t>
        </is>
      </c>
      <c r="E230" s="8" t="inlineStr">
        <is>
          <t>USD</t>
        </is>
      </c>
      <c r="F230" s="8" t="inlineStr">
        <is>
          <t>SELL</t>
        </is>
      </c>
      <c r="G230" s="8" t="n">
        <v>1</v>
      </c>
      <c r="H230" s="9" t="n">
        <v>364.43</v>
      </c>
      <c r="I230" s="10" t="n">
        <v>0.35816251</v>
      </c>
      <c r="J230" s="10" t="n">
        <v>364.43</v>
      </c>
      <c r="K230" s="10" t="n">
        <v>-13.538623</v>
      </c>
      <c r="L230" s="8" t="inlineStr">
        <is>
          <t>IBKRATS</t>
        </is>
      </c>
      <c r="M230" s="8" t="inlineStr">
        <is>
          <t>LIMIT</t>
        </is>
      </c>
    </row>
    <row r="231">
      <c r="A231" s="11" t="inlineStr">
        <is>
          <t>2026-05-12</t>
        </is>
      </c>
      <c r="B231" s="11" t="inlineStr">
        <is>
          <t>AKAM</t>
        </is>
      </c>
      <c r="C231" s="11" t="inlineStr">
        <is>
          <t>AKAMAI TECHNOLOGIES INC</t>
        </is>
      </c>
      <c r="D231" s="11" t="inlineStr">
        <is>
          <t>STK</t>
        </is>
      </c>
      <c r="E231" s="11" t="inlineStr">
        <is>
          <t>USD</t>
        </is>
      </c>
      <c r="F231" s="11" t="inlineStr">
        <is>
          <t>SELL</t>
        </is>
      </c>
      <c r="G231" s="11" t="n">
        <v>1</v>
      </c>
      <c r="H231" s="12" t="n">
        <v>147.01</v>
      </c>
      <c r="I231" s="13" t="n">
        <v>0.35238366</v>
      </c>
      <c r="J231" s="13" t="n">
        <v>147.01</v>
      </c>
      <c r="K231" s="13" t="n">
        <v>-2.290444</v>
      </c>
      <c r="L231" s="11" t="inlineStr">
        <is>
          <t>NASDAQ</t>
        </is>
      </c>
      <c r="M231" s="11" t="inlineStr">
        <is>
          <t>LIMIT</t>
        </is>
      </c>
    </row>
    <row r="232">
      <c r="A232" s="8" t="inlineStr">
        <is>
          <t>2026-05-13</t>
        </is>
      </c>
      <c r="B232" s="8" t="inlineStr">
        <is>
          <t>WOLF</t>
        </is>
      </c>
      <c r="C232" s="8" t="inlineStr">
        <is>
          <t>WOLFSPEED INC</t>
        </is>
      </c>
      <c r="D232" s="8" t="inlineStr">
        <is>
          <t>STK</t>
        </is>
      </c>
      <c r="E232" s="8" t="inlineStr">
        <is>
          <t>USD</t>
        </is>
      </c>
      <c r="F232" s="8" t="inlineStr">
        <is>
          <t>BUY</t>
        </is>
      </c>
      <c r="G232" s="8" t="n">
        <v>2</v>
      </c>
      <c r="H232" s="9" t="n">
        <v>64.81</v>
      </c>
      <c r="I232" s="10" t="n">
        <v>0.34426325</v>
      </c>
      <c r="J232" s="10" t="n">
        <v>129.62</v>
      </c>
      <c r="K232" s="10" t="n">
        <v>0</v>
      </c>
      <c r="L232" s="8" t="inlineStr">
        <is>
          <t>NYSE</t>
        </is>
      </c>
      <c r="M232" s="8" t="inlineStr">
        <is>
          <t>LIMIT</t>
        </is>
      </c>
    </row>
    <row r="233">
      <c r="A233" s="11" t="inlineStr">
        <is>
          <t>2026-05-14</t>
        </is>
      </c>
      <c r="B233" s="11" t="inlineStr">
        <is>
          <t>CF</t>
        </is>
      </c>
      <c r="C233" s="11" t="inlineStr">
        <is>
          <t>CF INDUSTRIES HOLDINGS INC</t>
        </is>
      </c>
      <c r="D233" s="11" t="inlineStr">
        <is>
          <t>STK</t>
        </is>
      </c>
      <c r="E233" s="11" t="inlineStr">
        <is>
          <t>USD</t>
        </is>
      </c>
      <c r="F233" s="11" t="inlineStr">
        <is>
          <t>SELL</t>
        </is>
      </c>
      <c r="G233" s="11" t="n">
        <v>1</v>
      </c>
      <c r="H233" s="12" t="n">
        <v>124.01</v>
      </c>
      <c r="I233" s="13" t="n">
        <v>0.35000986</v>
      </c>
      <c r="J233" s="13" t="n">
        <v>124.01</v>
      </c>
      <c r="K233" s="13" t="n">
        <v>7.599533</v>
      </c>
      <c r="L233" s="11" t="inlineStr">
        <is>
          <t>NYSE</t>
        </is>
      </c>
      <c r="M233" s="11" t="inlineStr">
        <is>
          <t>LIMIT</t>
        </is>
      </c>
    </row>
    <row r="234">
      <c r="A234" s="8" t="inlineStr">
        <is>
          <t>2026-05-14</t>
        </is>
      </c>
      <c r="B234" s="8" t="inlineStr">
        <is>
          <t>WEAT</t>
        </is>
      </c>
      <c r="C234" s="8" t="inlineStr">
        <is>
          <t>TEUCRIUM WHEAT FUND</t>
        </is>
      </c>
      <c r="D234" s="8" t="inlineStr">
        <is>
          <t>STK</t>
        </is>
      </c>
      <c r="E234" s="8" t="inlineStr">
        <is>
          <t>USD</t>
        </is>
      </c>
      <c r="F234" s="8" t="inlineStr">
        <is>
          <t>SELL</t>
        </is>
      </c>
      <c r="G234" s="8" t="n">
        <v>16</v>
      </c>
      <c r="H234" s="9" t="n">
        <v>24.88</v>
      </c>
      <c r="I234" s="10" t="n">
        <v>0.3392257</v>
      </c>
      <c r="J234" s="10" t="n">
        <v>398.08</v>
      </c>
      <c r="K234" s="10" t="n">
        <v>16.634313</v>
      </c>
      <c r="L234" s="8" t="inlineStr">
        <is>
          <t>ARCA</t>
        </is>
      </c>
      <c r="M234" s="8" t="inlineStr">
        <is>
          <t>LIMIT</t>
        </is>
      </c>
    </row>
    <row r="235">
      <c r="A235" s="11" t="inlineStr">
        <is>
          <t>2026-05-14</t>
        </is>
      </c>
      <c r="B235" s="11" t="inlineStr">
        <is>
          <t>WOLF</t>
        </is>
      </c>
      <c r="C235" s="11" t="inlineStr">
        <is>
          <t>WOLFSPEED INC</t>
        </is>
      </c>
      <c r="D235" s="11" t="inlineStr">
        <is>
          <t>STK</t>
        </is>
      </c>
      <c r="E235" s="11" t="inlineStr">
        <is>
          <t>USD</t>
        </is>
      </c>
      <c r="F235" s="11" t="inlineStr">
        <is>
          <t>BUY</t>
        </is>
      </c>
      <c r="G235" s="11" t="n">
        <v>2</v>
      </c>
      <c r="H235" s="12" t="n">
        <v>69.94499999999999</v>
      </c>
      <c r="I235" s="13" t="n">
        <v>0.35066325</v>
      </c>
      <c r="J235" s="13" t="n">
        <v>139.89</v>
      </c>
      <c r="K235" s="13" t="n">
        <v>0</v>
      </c>
      <c r="L235" s="11" t="inlineStr">
        <is>
          <t>IBKRATS</t>
        </is>
      </c>
      <c r="M235" s="11" t="inlineStr">
        <is>
          <t>LIMIT</t>
        </is>
      </c>
    </row>
    <row r="236">
      <c r="A236" s="8" t="inlineStr">
        <is>
          <t>2026-05-18</t>
        </is>
      </c>
      <c r="B236" s="8" t="inlineStr">
        <is>
          <t>FAZ</t>
        </is>
      </c>
      <c r="C236" s="8" t="inlineStr">
        <is>
          <t>DIREX DLY FIN BEA 3X ETF-USD</t>
        </is>
      </c>
      <c r="D236" s="8" t="inlineStr">
        <is>
          <t>STK</t>
        </is>
      </c>
      <c r="E236" s="8" t="inlineStr">
        <is>
          <t>USD</t>
        </is>
      </c>
      <c r="F236" s="8" t="inlineStr">
        <is>
          <t>SELL</t>
        </is>
      </c>
      <c r="G236" s="8" t="n">
        <v>10</v>
      </c>
      <c r="H236" s="9" t="n">
        <v>44.9</v>
      </c>
      <c r="I236" s="10" t="n">
        <v>0.34748665</v>
      </c>
      <c r="J236" s="10" t="n">
        <v>449</v>
      </c>
      <c r="K236" s="10" t="n">
        <v>-95.879744</v>
      </c>
      <c r="L236" s="8" t="inlineStr">
        <is>
          <t>ARCA</t>
        </is>
      </c>
      <c r="M236" s="8" t="inlineStr">
        <is>
          <t>LIMIT</t>
        </is>
      </c>
    </row>
    <row r="237">
      <c r="A237" s="11" t="inlineStr">
        <is>
          <t>2026-05-18</t>
        </is>
      </c>
      <c r="B237" s="11" t="inlineStr">
        <is>
          <t>SLV</t>
        </is>
      </c>
      <c r="C237" s="11" t="inlineStr">
        <is>
          <t>ISHARES SILVER TRUST</t>
        </is>
      </c>
      <c r="D237" s="11" t="inlineStr">
        <is>
          <t>STK</t>
        </is>
      </c>
      <c r="E237" s="11" t="inlineStr">
        <is>
          <t>USD</t>
        </is>
      </c>
      <c r="F237" s="11" t="inlineStr">
        <is>
          <t>BUY</t>
        </is>
      </c>
      <c r="G237" s="11" t="n">
        <v>3</v>
      </c>
      <c r="H237" s="12" t="n">
        <v>69.83929999999999</v>
      </c>
      <c r="I237" s="13" t="n">
        <v>0.35086625</v>
      </c>
      <c r="J237" s="13" t="n">
        <v>209.5179</v>
      </c>
      <c r="K237" s="13" t="n">
        <v>0</v>
      </c>
      <c r="L237" s="11" t="inlineStr">
        <is>
          <t>DARK</t>
        </is>
      </c>
      <c r="M237" s="11" t="inlineStr">
        <is>
          <t>LIMIT</t>
        </is>
      </c>
    </row>
    <row r="238">
      <c r="A238" s="8" t="inlineStr">
        <is>
          <t>2026-05-18</t>
        </is>
      </c>
      <c r="B238" s="8" t="inlineStr">
        <is>
          <t>GLD</t>
        </is>
      </c>
      <c r="C238" s="8" t="inlineStr">
        <is>
          <t>SPDR GOLD SHARES</t>
        </is>
      </c>
      <c r="D238" s="8" t="inlineStr">
        <is>
          <t>STK</t>
        </is>
      </c>
      <c r="E238" s="8" t="inlineStr">
        <is>
          <t>USD</t>
        </is>
      </c>
      <c r="F238" s="8" t="inlineStr">
        <is>
          <t>BUY</t>
        </is>
      </c>
      <c r="G238" s="8" t="n">
        <v>1</v>
      </c>
      <c r="H238" s="9" t="n">
        <v>418.29</v>
      </c>
      <c r="I238" s="10" t="n">
        <v>0.35346025</v>
      </c>
      <c r="J238" s="10" t="n">
        <v>418.29</v>
      </c>
      <c r="K238" s="10" t="n">
        <v>0</v>
      </c>
      <c r="L238" s="8" t="inlineStr">
        <is>
          <t>ARCA</t>
        </is>
      </c>
      <c r="M238" s="8" t="inlineStr">
        <is>
          <t>LIMIT</t>
        </is>
      </c>
    </row>
    <row r="239">
      <c r="A239" s="11" t="inlineStr">
        <is>
          <t>2026-05-18</t>
        </is>
      </c>
      <c r="B239" s="11" t="inlineStr">
        <is>
          <t>LMT</t>
        </is>
      </c>
      <c r="C239" s="11" t="inlineStr">
        <is>
          <t>LOCKHEED MARTIN CORP</t>
        </is>
      </c>
      <c r="D239" s="11" t="inlineStr">
        <is>
          <t>STK</t>
        </is>
      </c>
      <c r="E239" s="11" t="inlineStr">
        <is>
          <t>USD</t>
        </is>
      </c>
      <c r="F239" s="11" t="inlineStr">
        <is>
          <t>BUY</t>
        </is>
      </c>
      <c r="G239" s="11" t="n">
        <v>1</v>
      </c>
      <c r="H239" s="12" t="n">
        <v>527.8099999999999</v>
      </c>
      <c r="I239" s="13" t="n">
        <v>0.35046025</v>
      </c>
      <c r="J239" s="13" t="n">
        <v>527.8099999999999</v>
      </c>
      <c r="K239" s="13" t="n">
        <v>0</v>
      </c>
      <c r="L239" s="11" t="inlineStr">
        <is>
          <t>IBKRATS</t>
        </is>
      </c>
      <c r="M239" s="11" t="inlineStr">
        <is>
          <t>LIMIT</t>
        </is>
      </c>
    </row>
    <row r="240">
      <c r="A240" s="8" t="inlineStr">
        <is>
          <t>2026-05-18</t>
        </is>
      </c>
      <c r="B240" s="8" t="inlineStr">
        <is>
          <t>RTX</t>
        </is>
      </c>
      <c r="C240" s="8" t="inlineStr">
        <is>
          <t>RTX CORP</t>
        </is>
      </c>
      <c r="D240" s="8" t="inlineStr">
        <is>
          <t>STK</t>
        </is>
      </c>
      <c r="E240" s="8" t="inlineStr">
        <is>
          <t>USD</t>
        </is>
      </c>
      <c r="F240" s="8" t="inlineStr">
        <is>
          <t>BUY</t>
        </is>
      </c>
      <c r="G240" s="8" t="n">
        <v>2</v>
      </c>
      <c r="H240" s="9" t="n">
        <v>175.7488</v>
      </c>
      <c r="I240" s="10" t="n">
        <v>0.35066325</v>
      </c>
      <c r="J240" s="10" t="n">
        <v>351.4976</v>
      </c>
      <c r="K240" s="10" t="n">
        <v>0</v>
      </c>
      <c r="L240" s="8" t="inlineStr">
        <is>
          <t>DARK</t>
        </is>
      </c>
      <c r="M240" s="8" t="inlineStr">
        <is>
          <t>LIMIT</t>
        </is>
      </c>
    </row>
    <row r="241">
      <c r="A241" s="11" t="inlineStr">
        <is>
          <t>2026-05-21</t>
        </is>
      </c>
      <c r="B241" s="11" t="inlineStr">
        <is>
          <t>WOLF</t>
        </is>
      </c>
      <c r="C241" s="11" t="inlineStr">
        <is>
          <t>WOLFSPEED INC</t>
        </is>
      </c>
      <c r="D241" s="11" t="inlineStr">
        <is>
          <t>STK</t>
        </is>
      </c>
      <c r="E241" s="11" t="inlineStr">
        <is>
          <t>USD</t>
        </is>
      </c>
      <c r="F241" s="11" t="inlineStr">
        <is>
          <t>BUY</t>
        </is>
      </c>
      <c r="G241" s="11" t="n">
        <v>2</v>
      </c>
      <c r="H241" s="12" t="n">
        <v>70.3</v>
      </c>
      <c r="I241" s="13" t="n">
        <v>0.34426325</v>
      </c>
      <c r="J241" s="13" t="n">
        <v>140.6</v>
      </c>
      <c r="K241" s="13" t="n">
        <v>0</v>
      </c>
      <c r="L241" s="11" t="inlineStr">
        <is>
          <t>NYSE</t>
        </is>
      </c>
      <c r="M241" s="11" t="inlineStr">
        <is>
          <t>LIMIT</t>
        </is>
      </c>
    </row>
    <row r="242">
      <c r="A242" s="8" t="inlineStr">
        <is>
          <t>2026-05-21</t>
        </is>
      </c>
      <c r="B242" s="8" t="inlineStr">
        <is>
          <t>NVTS</t>
        </is>
      </c>
      <c r="C242" s="8" t="inlineStr">
        <is>
          <t>NAVITAS SEMICONDUCTOR CORP</t>
        </is>
      </c>
      <c r="D242" s="8" t="inlineStr">
        <is>
          <t>STK</t>
        </is>
      </c>
      <c r="E242" s="8" t="inlineStr">
        <is>
          <t>USD</t>
        </is>
      </c>
      <c r="F242" s="8" t="inlineStr">
        <is>
          <t>BUY</t>
        </is>
      </c>
      <c r="G242" s="8" t="n">
        <v>15</v>
      </c>
      <c r="H242" s="9" t="n">
        <v>24.8393</v>
      </c>
      <c r="I242" s="10" t="n">
        <v>0.35330225</v>
      </c>
      <c r="J242" s="10" t="n">
        <v>372.5895</v>
      </c>
      <c r="K242" s="10" t="n">
        <v>0</v>
      </c>
      <c r="L242" s="8" t="inlineStr">
        <is>
          <t>DARK</t>
        </is>
      </c>
      <c r="M242" s="8" t="inlineStr">
        <is>
          <t>LIMIT</t>
        </is>
      </c>
    </row>
    <row r="243">
      <c r="A243" s="11" t="inlineStr">
        <is>
          <t>2026-05-21</t>
        </is>
      </c>
      <c r="B243" s="11" t="inlineStr">
        <is>
          <t>SEDG</t>
        </is>
      </c>
      <c r="C243" s="11" t="inlineStr">
        <is>
          <t>SOLAREDGE TECHNOLOGIES INC</t>
        </is>
      </c>
      <c r="D243" s="11" t="inlineStr">
        <is>
          <t>STK</t>
        </is>
      </c>
      <c r="E243" s="11" t="inlineStr">
        <is>
          <t>USD</t>
        </is>
      </c>
      <c r="F243" s="11" t="inlineStr">
        <is>
          <t>BUY</t>
        </is>
      </c>
      <c r="G243" s="11" t="n">
        <v>5</v>
      </c>
      <c r="H243" s="12" t="n">
        <v>63</v>
      </c>
      <c r="I243" s="13" t="n">
        <v>0.34477225</v>
      </c>
      <c r="J243" s="13" t="n">
        <v>315</v>
      </c>
      <c r="K243" s="13" t="n">
        <v>0</v>
      </c>
      <c r="L243" s="11" t="inlineStr">
        <is>
          <t>NASDAQ</t>
        </is>
      </c>
      <c r="M243" s="11" t="inlineStr">
        <is>
          <t>LIMIT</t>
        </is>
      </c>
    </row>
    <row r="244">
      <c r="A244" s="8" t="inlineStr">
        <is>
          <t>2026-05-21</t>
        </is>
      </c>
      <c r="B244" s="8" t="inlineStr">
        <is>
          <t>UVIX</t>
        </is>
      </c>
      <c r="C244" s="8" t="inlineStr"/>
      <c r="D244" s="8" t="inlineStr">
        <is>
          <t>STK</t>
        </is>
      </c>
      <c r="E244" s="8" t="inlineStr">
        <is>
          <t>USD</t>
        </is>
      </c>
      <c r="F244" s="8" t="inlineStr">
        <is>
          <t>SELL</t>
        </is>
      </c>
      <c r="G244" s="8" t="n">
        <v>40</v>
      </c>
      <c r="H244" s="9" t="n">
        <v>4.5007</v>
      </c>
      <c r="I244" s="10" t="n">
        <v>0.36988583</v>
      </c>
      <c r="J244" s="10" t="n">
        <v>180.028</v>
      </c>
      <c r="K244" s="10" t="n">
        <v>-124.100143</v>
      </c>
      <c r="L244" s="8" t="inlineStr">
        <is>
          <t>DARK</t>
        </is>
      </c>
      <c r="M244" s="8" t="inlineStr">
        <is>
          <t>LIMIT</t>
        </is>
      </c>
    </row>
    <row r="245">
      <c r="A245" s="11" t="inlineStr">
        <is>
          <t>2026-05-22</t>
        </is>
      </c>
      <c r="B245" s="11" t="inlineStr">
        <is>
          <t>MSFT</t>
        </is>
      </c>
      <c r="C245" s="11" t="inlineStr">
        <is>
          <t>MICROSOFT CORP</t>
        </is>
      </c>
      <c r="D245" s="11" t="inlineStr">
        <is>
          <t>STK</t>
        </is>
      </c>
      <c r="E245" s="11" t="inlineStr">
        <is>
          <t>USD</t>
        </is>
      </c>
      <c r="F245" s="11" t="inlineStr">
        <is>
          <t>BUY</t>
        </is>
      </c>
      <c r="G245" s="11" t="n">
        <v>1</v>
      </c>
      <c r="H245" s="12" t="n">
        <v>418.76</v>
      </c>
      <c r="I245" s="13" t="n">
        <v>0.35046025</v>
      </c>
      <c r="J245" s="13" t="n">
        <v>418.76</v>
      </c>
      <c r="K245" s="13" t="n">
        <v>0</v>
      </c>
      <c r="L245" s="11" t="inlineStr">
        <is>
          <t>DARK</t>
        </is>
      </c>
      <c r="M245" s="11" t="inlineStr">
        <is>
          <t>LIMIT</t>
        </is>
      </c>
    </row>
    <row r="246">
      <c r="A246" s="8" t="inlineStr">
        <is>
          <t>2026-05-25</t>
        </is>
      </c>
      <c r="B246" s="8" t="inlineStr">
        <is>
          <t>USD.AED</t>
        </is>
      </c>
      <c r="C246" s="8" t="inlineStr">
        <is>
          <t>United States dollar</t>
        </is>
      </c>
      <c r="D246" s="8" t="inlineStr">
        <is>
          <t>CASH</t>
        </is>
      </c>
      <c r="E246" s="8" t="inlineStr">
        <is>
          <t>AED</t>
        </is>
      </c>
      <c r="F246" s="8" t="inlineStr">
        <is>
          <t>SELL</t>
        </is>
      </c>
      <c r="G246" s="8" t="n">
        <v>273</v>
      </c>
      <c r="H246" s="9" t="n">
        <v>3.67184</v>
      </c>
      <c r="I246" s="10" t="n">
        <v>0</v>
      </c>
      <c r="J246" s="10" t="n">
        <v>1002.41232</v>
      </c>
      <c r="K246" s="10" t="n">
        <v>0</v>
      </c>
      <c r="L246" s="8" t="inlineStr">
        <is>
          <t>FXCONV</t>
        </is>
      </c>
      <c r="M246" s="8" t="inlineStr">
        <is>
          <t>MARKET</t>
        </is>
      </c>
    </row>
    <row r="247">
      <c r="A247" s="11" t="inlineStr">
        <is>
          <t>2026-05-25</t>
        </is>
      </c>
      <c r="B247" s="11" t="inlineStr">
        <is>
          <t>EMIRATESN</t>
        </is>
      </c>
      <c r="C247" s="11" t="inlineStr">
        <is>
          <t>EMIRATES NBD PJSC</t>
        </is>
      </c>
      <c r="D247" s="11" t="inlineStr">
        <is>
          <t>STK</t>
        </is>
      </c>
      <c r="E247" s="11" t="inlineStr">
        <is>
          <t>AED</t>
        </is>
      </c>
      <c r="F247" s="11" t="inlineStr">
        <is>
          <t>BUY</t>
        </is>
      </c>
      <c r="G247" s="11" t="n">
        <v>40</v>
      </c>
      <c r="H247" s="12" t="n">
        <v>28.36</v>
      </c>
      <c r="I247" s="13" t="n">
        <v>15</v>
      </c>
      <c r="J247" s="13" t="n">
        <v>1134.4</v>
      </c>
      <c r="K247" s="13" t="n">
        <v>0</v>
      </c>
      <c r="L247" s="11" t="inlineStr">
        <is>
          <t>DFM</t>
        </is>
      </c>
      <c r="M247" s="11" t="inlineStr">
        <is>
          <t>MARKET</t>
        </is>
      </c>
    </row>
    <row r="248">
      <c r="A248" s="8" t="inlineStr">
        <is>
          <t>2026-05-25</t>
        </is>
      </c>
      <c r="B248" s="8" t="inlineStr">
        <is>
          <t>USD.AED</t>
        </is>
      </c>
      <c r="C248" s="8" t="inlineStr">
        <is>
          <t>United States dollar</t>
        </is>
      </c>
      <c r="D248" s="8" t="inlineStr">
        <is>
          <t>CASH</t>
        </is>
      </c>
      <c r="E248" s="8" t="inlineStr">
        <is>
          <t>AED</t>
        </is>
      </c>
      <c r="F248" s="8" t="inlineStr">
        <is>
          <t>SELL</t>
        </is>
      </c>
      <c r="G248" s="8" t="n">
        <v>649</v>
      </c>
      <c r="H248" s="9" t="n">
        <v>3.67184</v>
      </c>
      <c r="I248" s="10" t="n">
        <v>0</v>
      </c>
      <c r="J248" s="10" t="n">
        <v>2383.02416</v>
      </c>
      <c r="K248" s="10" t="n">
        <v>0</v>
      </c>
      <c r="L248" s="8" t="inlineStr">
        <is>
          <t>FXCONV</t>
        </is>
      </c>
      <c r="M248" s="8" t="inlineStr">
        <is>
          <t>MARKET</t>
        </is>
      </c>
    </row>
    <row r="249">
      <c r="A249" s="11" t="inlineStr">
        <is>
          <t>2026-05-25</t>
        </is>
      </c>
      <c r="B249" s="11" t="inlineStr">
        <is>
          <t>EMAAR</t>
        </is>
      </c>
      <c r="C249" s="11" t="inlineStr">
        <is>
          <t>EMAAR PROPERTIES PJSC</t>
        </is>
      </c>
      <c r="D249" s="11" t="inlineStr">
        <is>
          <t>STK</t>
        </is>
      </c>
      <c r="E249" s="11" t="inlineStr">
        <is>
          <t>AED</t>
        </is>
      </c>
      <c r="F249" s="11" t="inlineStr">
        <is>
          <t>BUY</t>
        </is>
      </c>
      <c r="G249" s="11" t="n">
        <v>200</v>
      </c>
      <c r="H249" s="12" t="n">
        <v>11.84</v>
      </c>
      <c r="I249" s="13" t="n">
        <v>15.92</v>
      </c>
      <c r="J249" s="13" t="n">
        <v>2368</v>
      </c>
      <c r="K249" s="13" t="n">
        <v>0</v>
      </c>
      <c r="L249" s="11" t="inlineStr">
        <is>
          <t>DFM</t>
        </is>
      </c>
      <c r="M249" s="11" t="inlineStr">
        <is>
          <t>MARKET</t>
        </is>
      </c>
    </row>
    <row r="250">
      <c r="A250" s="8" t="inlineStr">
        <is>
          <t>2026-05-25</t>
        </is>
      </c>
      <c r="B250" s="8" t="inlineStr">
        <is>
          <t>USD.AED</t>
        </is>
      </c>
      <c r="C250" s="8" t="inlineStr">
        <is>
          <t>United States dollar</t>
        </is>
      </c>
      <c r="D250" s="8" t="inlineStr">
        <is>
          <t>CASH</t>
        </is>
      </c>
      <c r="E250" s="8" t="inlineStr">
        <is>
          <t>AED</t>
        </is>
      </c>
      <c r="F250" s="8" t="inlineStr">
        <is>
          <t>SELL</t>
        </is>
      </c>
      <c r="G250" s="8" t="n">
        <v>313</v>
      </c>
      <c r="H250" s="9" t="n">
        <v>3.67227</v>
      </c>
      <c r="I250" s="10" t="n">
        <v>0</v>
      </c>
      <c r="J250" s="10" t="n">
        <v>1149.42051</v>
      </c>
      <c r="K250" s="10" t="n">
        <v>0</v>
      </c>
      <c r="L250" s="8" t="inlineStr">
        <is>
          <t>FXCONV</t>
        </is>
      </c>
      <c r="M250" s="8" t="inlineStr">
        <is>
          <t>MARKET</t>
        </is>
      </c>
    </row>
    <row r="251">
      <c r="A251" s="11" t="inlineStr">
        <is>
          <t>2026-05-25</t>
        </is>
      </c>
      <c r="B251" s="11" t="inlineStr">
        <is>
          <t>EMIRATESN</t>
        </is>
      </c>
      <c r="C251" s="11" t="inlineStr">
        <is>
          <t>EMIRATES NBD PJSC</t>
        </is>
      </c>
      <c r="D251" s="11" t="inlineStr">
        <is>
          <t>STK</t>
        </is>
      </c>
      <c r="E251" s="11" t="inlineStr">
        <is>
          <t>AED</t>
        </is>
      </c>
      <c r="F251" s="11" t="inlineStr">
        <is>
          <t>BUY</t>
        </is>
      </c>
      <c r="G251" s="11" t="n">
        <v>40</v>
      </c>
      <c r="H251" s="12" t="n">
        <v>28.36</v>
      </c>
      <c r="I251" s="13" t="n">
        <v>15</v>
      </c>
      <c r="J251" s="13" t="n">
        <v>1134.4</v>
      </c>
      <c r="K251" s="13" t="n">
        <v>0</v>
      </c>
      <c r="L251" s="11" t="inlineStr">
        <is>
          <t>DFM</t>
        </is>
      </c>
      <c r="M251" s="11" t="inlineStr">
        <is>
          <t>MARKET</t>
        </is>
      </c>
    </row>
    <row r="252">
      <c r="A252" s="8" t="inlineStr">
        <is>
          <t>2026-05-25</t>
        </is>
      </c>
      <c r="B252" s="8" t="inlineStr">
        <is>
          <t>USD.AED</t>
        </is>
      </c>
      <c r="C252" s="8" t="inlineStr">
        <is>
          <t>United States dollar</t>
        </is>
      </c>
      <c r="D252" s="8" t="inlineStr">
        <is>
          <t>CASH</t>
        </is>
      </c>
      <c r="E252" s="8" t="inlineStr">
        <is>
          <t>AED</t>
        </is>
      </c>
      <c r="F252" s="8" t="inlineStr">
        <is>
          <t>SELL</t>
        </is>
      </c>
      <c r="G252" s="8" t="n">
        <v>307</v>
      </c>
      <c r="H252" s="9" t="n">
        <v>3.67184</v>
      </c>
      <c r="I252" s="10" t="n">
        <v>0</v>
      </c>
      <c r="J252" s="10" t="n">
        <v>1127.25488</v>
      </c>
      <c r="K252" s="10" t="n">
        <v>0</v>
      </c>
      <c r="L252" s="8" t="inlineStr">
        <is>
          <t>FXCONV</t>
        </is>
      </c>
      <c r="M252" s="8" t="inlineStr">
        <is>
          <t>MARKET</t>
        </is>
      </c>
    </row>
    <row r="253">
      <c r="A253" s="11" t="inlineStr">
        <is>
          <t>2026-05-25</t>
        </is>
      </c>
      <c r="B253" s="11" t="inlineStr">
        <is>
          <t>SALIK</t>
        </is>
      </c>
      <c r="C253" s="11" t="inlineStr">
        <is>
          <t>SALIK CO PJSC</t>
        </is>
      </c>
      <c r="D253" s="11" t="inlineStr">
        <is>
          <t>STK</t>
        </is>
      </c>
      <c r="E253" s="11" t="inlineStr">
        <is>
          <t>AED</t>
        </is>
      </c>
      <c r="F253" s="11" t="inlineStr">
        <is>
          <t>BUY</t>
        </is>
      </c>
      <c r="G253" s="11" t="n">
        <v>130</v>
      </c>
      <c r="H253" s="12" t="n">
        <v>5.56</v>
      </c>
      <c r="I253" s="13" t="n">
        <v>15</v>
      </c>
      <c r="J253" s="13" t="n">
        <v>722.8</v>
      </c>
      <c r="K253" s="13" t="n">
        <v>0</v>
      </c>
      <c r="L253" s="11" t="inlineStr">
        <is>
          <t>DFM</t>
        </is>
      </c>
      <c r="M253" s="11" t="inlineStr">
        <is>
          <t>MARKET</t>
        </is>
      </c>
    </row>
    <row r="254">
      <c r="A254" s="8" t="inlineStr">
        <is>
          <t>2026-05-25</t>
        </is>
      </c>
      <c r="B254" s="8" t="inlineStr">
        <is>
          <t>SALIK</t>
        </is>
      </c>
      <c r="C254" s="8" t="inlineStr">
        <is>
          <t>SALIK CO PJSC</t>
        </is>
      </c>
      <c r="D254" s="8" t="inlineStr">
        <is>
          <t>STK</t>
        </is>
      </c>
      <c r="E254" s="8" t="inlineStr">
        <is>
          <t>AED</t>
        </is>
      </c>
      <c r="F254" s="8" t="inlineStr">
        <is>
          <t>BUY</t>
        </is>
      </c>
      <c r="G254" s="8" t="n">
        <v>70</v>
      </c>
      <c r="H254" s="9" t="n">
        <v>5.56</v>
      </c>
      <c r="I254" s="10" t="n">
        <v>0</v>
      </c>
      <c r="J254" s="10" t="n">
        <v>389.2</v>
      </c>
      <c r="K254" s="10" t="n">
        <v>0</v>
      </c>
      <c r="L254" s="8" t="inlineStr">
        <is>
          <t>DFM</t>
        </is>
      </c>
      <c r="M254" s="8" t="inlineStr">
        <is>
          <t>MARKET</t>
        </is>
      </c>
    </row>
    <row r="255">
      <c r="A255" s="11" t="inlineStr">
        <is>
          <t>2026-05-25</t>
        </is>
      </c>
      <c r="B255" s="11" t="inlineStr">
        <is>
          <t>USD.AED</t>
        </is>
      </c>
      <c r="C255" s="11" t="inlineStr">
        <is>
          <t>United States dollar</t>
        </is>
      </c>
      <c r="D255" s="11" t="inlineStr">
        <is>
          <t>CASH</t>
        </is>
      </c>
      <c r="E255" s="11" t="inlineStr">
        <is>
          <t>AED</t>
        </is>
      </c>
      <c r="F255" s="11" t="inlineStr">
        <is>
          <t>SELL</t>
        </is>
      </c>
      <c r="G255" s="11" t="n">
        <v>289</v>
      </c>
      <c r="H255" s="12" t="n">
        <v>3.67184</v>
      </c>
      <c r="I255" s="13" t="n">
        <v>0</v>
      </c>
      <c r="J255" s="13" t="n">
        <v>1061.16176</v>
      </c>
      <c r="K255" s="13" t="n">
        <v>0</v>
      </c>
      <c r="L255" s="11" t="inlineStr">
        <is>
          <t>FXCONV</t>
        </is>
      </c>
      <c r="M255" s="11" t="inlineStr">
        <is>
          <t>MARKET</t>
        </is>
      </c>
    </row>
    <row r="256">
      <c r="A256" s="8" t="inlineStr">
        <is>
          <t>2026-05-25</t>
        </is>
      </c>
      <c r="B256" s="8" t="inlineStr">
        <is>
          <t>DTC</t>
        </is>
      </c>
      <c r="C256" s="8" t="inlineStr">
        <is>
          <t>DUBAI TAXI CO PJSC</t>
        </is>
      </c>
      <c r="D256" s="8" t="inlineStr">
        <is>
          <t>STK</t>
        </is>
      </c>
      <c r="E256" s="8" t="inlineStr">
        <is>
          <t>AED</t>
        </is>
      </c>
      <c r="F256" s="8" t="inlineStr">
        <is>
          <t>BUY</t>
        </is>
      </c>
      <c r="G256" s="8" t="n">
        <v>500</v>
      </c>
      <c r="H256" s="9" t="n">
        <v>2.09</v>
      </c>
      <c r="I256" s="10" t="n">
        <v>15</v>
      </c>
      <c r="J256" s="10" t="n">
        <v>1045</v>
      </c>
      <c r="K256" s="10" t="n">
        <v>0</v>
      </c>
      <c r="L256" s="8" t="inlineStr">
        <is>
          <t>DFM</t>
        </is>
      </c>
      <c r="M256" s="8" t="inlineStr">
        <is>
          <t>MARKET</t>
        </is>
      </c>
    </row>
    <row r="257">
      <c r="A257" s="11" t="inlineStr">
        <is>
          <t>2026-05-25</t>
        </is>
      </c>
      <c r="B257" s="11" t="inlineStr">
        <is>
          <t>USD.AED</t>
        </is>
      </c>
      <c r="C257" s="11" t="inlineStr">
        <is>
          <t>United States dollar</t>
        </is>
      </c>
      <c r="D257" s="11" t="inlineStr">
        <is>
          <t>CASH</t>
        </is>
      </c>
      <c r="E257" s="11" t="inlineStr">
        <is>
          <t>AED</t>
        </is>
      </c>
      <c r="F257" s="11" t="inlineStr">
        <is>
          <t>BUY</t>
        </is>
      </c>
      <c r="G257" s="11" t="n">
        <v>0.7767723600000001</v>
      </c>
      <c r="H257" s="12" t="n">
        <v>3.67370178</v>
      </c>
      <c r="I257" s="13" t="n">
        <v>0</v>
      </c>
      <c r="J257" s="13" t="n">
        <v>-2.85363</v>
      </c>
      <c r="K257" s="13" t="n">
        <v>0</v>
      </c>
      <c r="L257" s="11" t="inlineStr">
        <is>
          <t>FXCONV</t>
        </is>
      </c>
      <c r="M257" s="11" t="inlineStr">
        <is>
          <t>OTHER</t>
        </is>
      </c>
    </row>
    <row r="258">
      <c r="A258" s="8" t="inlineStr">
        <is>
          <t>2026-05-26</t>
        </is>
      </c>
      <c r="B258" s="8" t="inlineStr">
        <is>
          <t>AEHR</t>
        </is>
      </c>
      <c r="C258" s="8" t="inlineStr">
        <is>
          <t>AEHR TEST SYSTEMS</t>
        </is>
      </c>
      <c r="D258" s="8" t="inlineStr">
        <is>
          <t>STK</t>
        </is>
      </c>
      <c r="E258" s="8" t="inlineStr">
        <is>
          <t>USD</t>
        </is>
      </c>
      <c r="F258" s="8" t="inlineStr">
        <is>
          <t>BUY</t>
        </is>
      </c>
      <c r="G258" s="8" t="n">
        <v>5</v>
      </c>
      <c r="H258" s="9" t="n">
        <v>101.43</v>
      </c>
      <c r="I258" s="10" t="n">
        <v>0.35127225</v>
      </c>
      <c r="J258" s="10" t="n">
        <v>507.15</v>
      </c>
      <c r="K258" s="10" t="n">
        <v>0</v>
      </c>
      <c r="L258" s="8" t="inlineStr">
        <is>
          <t>DARK</t>
        </is>
      </c>
      <c r="M258" s="8" t="inlineStr">
        <is>
          <t>LIMIT</t>
        </is>
      </c>
    </row>
    <row r="259">
      <c r="A259" s="11" t="inlineStr">
        <is>
          <t>2026-05-26</t>
        </is>
      </c>
      <c r="B259" s="11" t="inlineStr">
        <is>
          <t>CORN</t>
        </is>
      </c>
      <c r="C259" s="11" t="inlineStr">
        <is>
          <t>TEUCRIUM CORN FUND</t>
        </is>
      </c>
      <c r="D259" s="11" t="inlineStr">
        <is>
          <t>STK</t>
        </is>
      </c>
      <c r="E259" s="11" t="inlineStr">
        <is>
          <t>USD</t>
        </is>
      </c>
      <c r="F259" s="11" t="inlineStr">
        <is>
          <t>SELL</t>
        </is>
      </c>
      <c r="G259" s="11" t="n">
        <v>20</v>
      </c>
      <c r="H259" s="12" t="n">
        <v>18.295</v>
      </c>
      <c r="I259" s="13" t="n">
        <v>0.36575479</v>
      </c>
      <c r="J259" s="13" t="n">
        <v>365.9</v>
      </c>
      <c r="K259" s="13" t="n">
        <v>-1.320012</v>
      </c>
      <c r="L259" s="11" t="inlineStr">
        <is>
          <t>DARK</t>
        </is>
      </c>
      <c r="M259" s="11" t="inlineStr">
        <is>
          <t>LIMIT</t>
        </is>
      </c>
    </row>
    <row r="260">
      <c r="A260" s="8" t="inlineStr">
        <is>
          <t>2026-05-26</t>
        </is>
      </c>
      <c r="B260" s="8" t="inlineStr">
        <is>
          <t>WEAT</t>
        </is>
      </c>
      <c r="C260" s="8" t="inlineStr">
        <is>
          <t>TEUCRIUM WHEAT FUND</t>
        </is>
      </c>
      <c r="D260" s="8" t="inlineStr">
        <is>
          <t>STK</t>
        </is>
      </c>
      <c r="E260" s="8" t="inlineStr">
        <is>
          <t>USD</t>
        </is>
      </c>
      <c r="F260" s="8" t="inlineStr">
        <is>
          <t>SELL</t>
        </is>
      </c>
      <c r="G260" s="8" t="n">
        <v>19</v>
      </c>
      <c r="H260" s="9" t="n">
        <v>24.4</v>
      </c>
      <c r="I260" s="10" t="n">
        <v>0.33696941</v>
      </c>
      <c r="J260" s="10" t="n">
        <v>463.6</v>
      </c>
      <c r="K260" s="10" t="n">
        <v>-6.842764</v>
      </c>
      <c r="L260" s="8" t="inlineStr">
        <is>
          <t>ARCA</t>
        </is>
      </c>
      <c r="M260" s="8" t="inlineStr">
        <is>
          <t>LIMIT</t>
        </is>
      </c>
    </row>
    <row r="261">
      <c r="A261" s="11" t="inlineStr">
        <is>
          <t>2026-05-26</t>
        </is>
      </c>
      <c r="B261" s="11" t="inlineStr">
        <is>
          <t>SEDG</t>
        </is>
      </c>
      <c r="C261" s="11" t="inlineStr">
        <is>
          <t>SOLAREDGE TECHNOLOGIES INC</t>
        </is>
      </c>
      <c r="D261" s="11" t="inlineStr">
        <is>
          <t>STK</t>
        </is>
      </c>
      <c r="E261" s="11" t="inlineStr">
        <is>
          <t>USD</t>
        </is>
      </c>
      <c r="F261" s="11" t="inlineStr">
        <is>
          <t>BUY</t>
        </is>
      </c>
      <c r="G261" s="11" t="n">
        <v>2</v>
      </c>
      <c r="H261" s="12" t="n">
        <v>71.88</v>
      </c>
      <c r="I261" s="13" t="n">
        <v>0.35066325</v>
      </c>
      <c r="J261" s="13" t="n">
        <v>143.76</v>
      </c>
      <c r="K261" s="13" t="n">
        <v>0</v>
      </c>
      <c r="L261" s="11" t="inlineStr">
        <is>
          <t>IBKRATS</t>
        </is>
      </c>
      <c r="M261" s="11" t="inlineStr">
        <is>
          <t>LIMIT</t>
        </is>
      </c>
    </row>
    <row r="262">
      <c r="A262" s="8" t="inlineStr">
        <is>
          <t>2026-05-26</t>
        </is>
      </c>
      <c r="B262" s="8" t="inlineStr">
        <is>
          <t>SILJ</t>
        </is>
      </c>
      <c r="C262" s="8" t="inlineStr">
        <is>
          <t>AMPLIFY JUNIOR SILVER MINERS</t>
        </is>
      </c>
      <c r="D262" s="8" t="inlineStr">
        <is>
          <t>STK</t>
        </is>
      </c>
      <c r="E262" s="8" t="inlineStr">
        <is>
          <t>USD</t>
        </is>
      </c>
      <c r="F262" s="8" t="inlineStr">
        <is>
          <t>BUY</t>
        </is>
      </c>
      <c r="G262" s="8" t="n">
        <v>8</v>
      </c>
      <c r="H262" s="9" t="n">
        <v>29.835</v>
      </c>
      <c r="I262" s="10" t="n">
        <v>0.35188125</v>
      </c>
      <c r="J262" s="10" t="n">
        <v>238.68</v>
      </c>
      <c r="K262" s="10" t="n">
        <v>0</v>
      </c>
      <c r="L262" s="8" t="inlineStr">
        <is>
          <t>DARK</t>
        </is>
      </c>
      <c r="M262" s="8" t="inlineStr">
        <is>
          <t>LIMIT</t>
        </is>
      </c>
    </row>
    <row r="263">
      <c r="A263" s="11" t="inlineStr">
        <is>
          <t>2026-05-26</t>
        </is>
      </c>
      <c r="B263" s="11" t="inlineStr">
        <is>
          <t>COPX</t>
        </is>
      </c>
      <c r="C263" s="11" t="inlineStr">
        <is>
          <t>GLOBAL X COPPER MINERS ETF</t>
        </is>
      </c>
      <c r="D263" s="11" t="inlineStr">
        <is>
          <t>STK</t>
        </is>
      </c>
      <c r="E263" s="11" t="inlineStr">
        <is>
          <t>USD</t>
        </is>
      </c>
      <c r="F263" s="11" t="inlineStr">
        <is>
          <t>BUY</t>
        </is>
      </c>
      <c r="G263" s="11" t="n">
        <v>3</v>
      </c>
      <c r="H263" s="12" t="n">
        <v>86.87909999999999</v>
      </c>
      <c r="I263" s="13" t="n">
        <v>0.35086625</v>
      </c>
      <c r="J263" s="13" t="n">
        <v>260.6373</v>
      </c>
      <c r="K263" s="13" t="n">
        <v>0</v>
      </c>
      <c r="L263" s="11" t="inlineStr">
        <is>
          <t>DARK</t>
        </is>
      </c>
      <c r="M263" s="11" t="inlineStr">
        <is>
          <t>LIMIT</t>
        </is>
      </c>
    </row>
    <row r="264">
      <c r="A264" s="8" t="inlineStr">
        <is>
          <t>2026-05-26</t>
        </is>
      </c>
      <c r="B264" s="8" t="inlineStr">
        <is>
          <t>GDXJ</t>
        </is>
      </c>
      <c r="C264" s="8" t="inlineStr">
        <is>
          <t>VANECK JUNIOR GOLD MINERS</t>
        </is>
      </c>
      <c r="D264" s="8" t="inlineStr">
        <is>
          <t>STK</t>
        </is>
      </c>
      <c r="E264" s="8" t="inlineStr">
        <is>
          <t>USD</t>
        </is>
      </c>
      <c r="F264" s="8" t="inlineStr">
        <is>
          <t>BUY</t>
        </is>
      </c>
      <c r="G264" s="8" t="n">
        <v>2</v>
      </c>
      <c r="H264" s="9" t="n">
        <v>115.55</v>
      </c>
      <c r="I264" s="10" t="n">
        <v>0.34746325</v>
      </c>
      <c r="J264" s="10" t="n">
        <v>231.1</v>
      </c>
      <c r="K264" s="10" t="n">
        <v>0</v>
      </c>
      <c r="L264" s="8" t="inlineStr">
        <is>
          <t>ARCA</t>
        </is>
      </c>
      <c r="M264" s="8" t="inlineStr">
        <is>
          <t>LIMIT</t>
        </is>
      </c>
    </row>
    <row r="265">
      <c r="A265" s="11" t="inlineStr">
        <is>
          <t>2026-05-26</t>
        </is>
      </c>
      <c r="B265" s="11" t="inlineStr">
        <is>
          <t>URNM</t>
        </is>
      </c>
      <c r="C265" s="11" t="inlineStr">
        <is>
          <t>SPROTT URANIUM MINERS ETF</t>
        </is>
      </c>
      <c r="D265" s="11" t="inlineStr">
        <is>
          <t>STK</t>
        </is>
      </c>
      <c r="E265" s="11" t="inlineStr">
        <is>
          <t>USD</t>
        </is>
      </c>
      <c r="F265" s="11" t="inlineStr">
        <is>
          <t>BUY</t>
        </is>
      </c>
      <c r="G265" s="11" t="n">
        <v>5</v>
      </c>
      <c r="H265" s="12" t="n">
        <v>60.7173</v>
      </c>
      <c r="I265" s="13" t="n">
        <v>0.35127225</v>
      </c>
      <c r="J265" s="13" t="n">
        <v>303.5865</v>
      </c>
      <c r="K265" s="13" t="n">
        <v>0</v>
      </c>
      <c r="L265" s="11" t="inlineStr">
        <is>
          <t>DARK</t>
        </is>
      </c>
      <c r="M265" s="11" t="inlineStr">
        <is>
          <t>LIMIT</t>
        </is>
      </c>
    </row>
    <row r="266">
      <c r="A266" s="8" t="inlineStr">
        <is>
          <t>2026-05-28</t>
        </is>
      </c>
      <c r="B266" s="8" t="inlineStr">
        <is>
          <t>GDXJ</t>
        </is>
      </c>
      <c r="C266" s="8" t="inlineStr">
        <is>
          <t>VANECK JUNIOR GOLD MINERS</t>
        </is>
      </c>
      <c r="D266" s="8" t="inlineStr">
        <is>
          <t>STK</t>
        </is>
      </c>
      <c r="E266" s="8" t="inlineStr">
        <is>
          <t>USD</t>
        </is>
      </c>
      <c r="F266" s="8" t="inlineStr">
        <is>
          <t>BUY</t>
        </is>
      </c>
      <c r="G266" s="8" t="n">
        <v>1</v>
      </c>
      <c r="H266" s="9" t="n">
        <v>115.55</v>
      </c>
      <c r="I266" s="10" t="n">
        <v>0.35346025</v>
      </c>
      <c r="J266" s="10" t="n">
        <v>115.55</v>
      </c>
      <c r="K266" s="10" t="n">
        <v>0</v>
      </c>
      <c r="L266" s="8" t="inlineStr">
        <is>
          <t>ARCA</t>
        </is>
      </c>
      <c r="M266" s="8" t="inlineStr">
        <is>
          <t>LIMIT</t>
        </is>
      </c>
    </row>
    <row r="267">
      <c r="A267" s="11" t="inlineStr">
        <is>
          <t>2026-05-28</t>
        </is>
      </c>
      <c r="B267" s="11" t="inlineStr">
        <is>
          <t>SILJ</t>
        </is>
      </c>
      <c r="C267" s="11" t="inlineStr">
        <is>
          <t>AMPLIFY JUNIOR SILVER MINERS</t>
        </is>
      </c>
      <c r="D267" s="11" t="inlineStr">
        <is>
          <t>STK</t>
        </is>
      </c>
      <c r="E267" s="11" t="inlineStr">
        <is>
          <t>USD</t>
        </is>
      </c>
      <c r="F267" s="11" t="inlineStr">
        <is>
          <t>BUY</t>
        </is>
      </c>
      <c r="G267" s="11" t="n">
        <v>2</v>
      </c>
      <c r="H267" s="12" t="n">
        <v>30.4993</v>
      </c>
      <c r="I267" s="13" t="n">
        <v>0.35066325</v>
      </c>
      <c r="J267" s="13" t="n">
        <v>60.9986</v>
      </c>
      <c r="K267" s="13" t="n">
        <v>0</v>
      </c>
      <c r="L267" s="11" t="inlineStr">
        <is>
          <t>DARK</t>
        </is>
      </c>
      <c r="M267" s="11" t="inlineStr">
        <is>
          <t>LIMIT</t>
        </is>
      </c>
    </row>
    <row r="268">
      <c r="A268" s="8" t="inlineStr">
        <is>
          <t>2026-05-28</t>
        </is>
      </c>
      <c r="B268" s="8" t="inlineStr">
        <is>
          <t>SILJ</t>
        </is>
      </c>
      <c r="C268" s="8" t="inlineStr">
        <is>
          <t>AMPLIFY JUNIOR SILVER MINERS</t>
        </is>
      </c>
      <c r="D268" s="8" t="inlineStr">
        <is>
          <t>STK</t>
        </is>
      </c>
      <c r="E268" s="8" t="inlineStr">
        <is>
          <t>USD</t>
        </is>
      </c>
      <c r="F268" s="8" t="inlineStr">
        <is>
          <t>BUY</t>
        </is>
      </c>
      <c r="G268" s="8" t="n">
        <v>2</v>
      </c>
      <c r="H268" s="9" t="n">
        <v>30.4984</v>
      </c>
      <c r="I268" s="10" t="n">
        <v>0.000406</v>
      </c>
      <c r="J268" s="10" t="n">
        <v>60.9968</v>
      </c>
      <c r="K268" s="10" t="n">
        <v>0</v>
      </c>
      <c r="L268" s="8" t="inlineStr">
        <is>
          <t>DARK</t>
        </is>
      </c>
      <c r="M268" s="8" t="inlineStr">
        <is>
          <t>LIMIT</t>
        </is>
      </c>
    </row>
    <row r="269">
      <c r="A269" s="11" t="inlineStr">
        <is>
          <t>2026-05-28</t>
        </is>
      </c>
      <c r="B269" s="11" t="inlineStr">
        <is>
          <t>SILJ</t>
        </is>
      </c>
      <c r="C269" s="11" t="inlineStr">
        <is>
          <t>AMPLIFY JUNIOR SILVER MINERS</t>
        </is>
      </c>
      <c r="D269" s="11" t="inlineStr">
        <is>
          <t>STK</t>
        </is>
      </c>
      <c r="E269" s="11" t="inlineStr">
        <is>
          <t>USD</t>
        </is>
      </c>
      <c r="F269" s="11" t="inlineStr">
        <is>
          <t>BUY</t>
        </is>
      </c>
      <c r="G269" s="11" t="n">
        <v>4</v>
      </c>
      <c r="H269" s="12" t="n">
        <v>30.48</v>
      </c>
      <c r="I269" s="13" t="n">
        <v>0.34466925</v>
      </c>
      <c r="J269" s="13" t="n">
        <v>121.92</v>
      </c>
      <c r="K269" s="13" t="n">
        <v>0</v>
      </c>
      <c r="L269" s="11" t="inlineStr">
        <is>
          <t>ARCA</t>
        </is>
      </c>
      <c r="M269" s="11" t="inlineStr">
        <is>
          <t>LIMIT</t>
        </is>
      </c>
    </row>
    <row r="270">
      <c r="A270" s="8" t="inlineStr">
        <is>
          <t>2026-05-28</t>
        </is>
      </c>
      <c r="B270" s="8" t="inlineStr">
        <is>
          <t>RNMBY</t>
        </is>
      </c>
      <c r="C270" s="8" t="inlineStr">
        <is>
          <t>RHEINMETALL AG-UNSP ADR</t>
        </is>
      </c>
      <c r="D270" s="8" t="inlineStr">
        <is>
          <t>STK</t>
        </is>
      </c>
      <c r="E270" s="8" t="inlineStr">
        <is>
          <t>USD</t>
        </is>
      </c>
      <c r="F270" s="8" t="inlineStr">
        <is>
          <t>BUY</t>
        </is>
      </c>
      <c r="G270" s="8" t="n">
        <v>1</v>
      </c>
      <c r="H270" s="9" t="n">
        <v>300.97</v>
      </c>
      <c r="I270" s="10" t="n">
        <v>0.35045728</v>
      </c>
      <c r="J270" s="10" t="n">
        <v>300.97</v>
      </c>
      <c r="K270" s="10" t="n">
        <v>0</v>
      </c>
      <c r="L270" s="8" t="inlineStr">
        <is>
          <t>MM</t>
        </is>
      </c>
      <c r="M270" s="8" t="inlineStr">
        <is>
          <t>MARKET</t>
        </is>
      </c>
    </row>
    <row r="271">
      <c r="A271" s="11" t="inlineStr">
        <is>
          <t>2026-05-28</t>
        </is>
      </c>
      <c r="B271" s="11" t="inlineStr">
        <is>
          <t>COPX</t>
        </is>
      </c>
      <c r="C271" s="11" t="inlineStr">
        <is>
          <t>GLOBAL X COPPER MINERS ETF</t>
        </is>
      </c>
      <c r="D271" s="11" t="inlineStr">
        <is>
          <t>STK</t>
        </is>
      </c>
      <c r="E271" s="11" t="inlineStr">
        <is>
          <t>USD</t>
        </is>
      </c>
      <c r="F271" s="11" t="inlineStr">
        <is>
          <t>BUY</t>
        </is>
      </c>
      <c r="G271" s="11" t="n">
        <v>1</v>
      </c>
      <c r="H271" s="12" t="n">
        <v>88.48999999999999</v>
      </c>
      <c r="I271" s="13" t="n">
        <v>0.34866025</v>
      </c>
      <c r="J271" s="13" t="n">
        <v>88.48999999999999</v>
      </c>
      <c r="K271" s="13" t="n">
        <v>0</v>
      </c>
      <c r="L271" s="11" t="inlineStr">
        <is>
          <t>NASDAQ</t>
        </is>
      </c>
      <c r="M271" s="11" t="inlineStr">
        <is>
          <t>LIMIT</t>
        </is>
      </c>
    </row>
    <row r="272">
      <c r="A272" s="8" t="inlineStr">
        <is>
          <t>2026-05-28</t>
        </is>
      </c>
      <c r="B272" s="8" t="inlineStr">
        <is>
          <t>REMX</t>
        </is>
      </c>
      <c r="C272" s="8" t="inlineStr">
        <is>
          <t>VANECK RAR EARTH ND STG-USDI</t>
        </is>
      </c>
      <c r="D272" s="8" t="inlineStr">
        <is>
          <t>STK</t>
        </is>
      </c>
      <c r="E272" s="8" t="inlineStr">
        <is>
          <t>USD</t>
        </is>
      </c>
      <c r="F272" s="8" t="inlineStr">
        <is>
          <t>BUY</t>
        </is>
      </c>
      <c r="G272" s="8" t="n">
        <v>2</v>
      </c>
      <c r="H272" s="9" t="n">
        <v>101.64</v>
      </c>
      <c r="I272" s="10" t="n">
        <v>0.35066325</v>
      </c>
      <c r="J272" s="10" t="n">
        <v>203.28</v>
      </c>
      <c r="K272" s="10" t="n">
        <v>0</v>
      </c>
      <c r="L272" s="8" t="inlineStr">
        <is>
          <t>IBKRATS</t>
        </is>
      </c>
      <c r="M272" s="8" t="inlineStr">
        <is>
          <t>LIMIT</t>
        </is>
      </c>
    </row>
    <row r="273">
      <c r="A273" s="11" t="inlineStr">
        <is>
          <t>2026-05-28</t>
        </is>
      </c>
      <c r="B273" s="11" t="inlineStr">
        <is>
          <t>REMX</t>
        </is>
      </c>
      <c r="C273" s="11" t="inlineStr">
        <is>
          <t>VANECK RAR EARTH ND STG-USDI</t>
        </is>
      </c>
      <c r="D273" s="11" t="inlineStr">
        <is>
          <t>STK</t>
        </is>
      </c>
      <c r="E273" s="11" t="inlineStr">
        <is>
          <t>USD</t>
        </is>
      </c>
      <c r="F273" s="11" t="inlineStr">
        <is>
          <t>BUY</t>
        </is>
      </c>
      <c r="G273" s="11" t="n">
        <v>1</v>
      </c>
      <c r="H273" s="12" t="n">
        <v>101.67</v>
      </c>
      <c r="I273" s="13" t="n">
        <v>0.35346025</v>
      </c>
      <c r="J273" s="13" t="n">
        <v>101.67</v>
      </c>
      <c r="K273" s="13" t="n">
        <v>0</v>
      </c>
      <c r="L273" s="11" t="inlineStr">
        <is>
          <t>ARCA</t>
        </is>
      </c>
      <c r="M273" s="11" t="inlineStr">
        <is>
          <t>LIMIT</t>
        </is>
      </c>
    </row>
    <row r="274">
      <c r="A274" s="8" t="inlineStr">
        <is>
          <t>2026-06-01</t>
        </is>
      </c>
      <c r="B274" s="8" t="inlineStr">
        <is>
          <t>REMX</t>
        </is>
      </c>
      <c r="C274" s="8" t="inlineStr">
        <is>
          <t>VANECK RAR EARTH ND STG-USDI</t>
        </is>
      </c>
      <c r="D274" s="8" t="inlineStr">
        <is>
          <t>STK</t>
        </is>
      </c>
      <c r="E274" s="8" t="inlineStr">
        <is>
          <t>USD</t>
        </is>
      </c>
      <c r="F274" s="8" t="inlineStr">
        <is>
          <t>SELL</t>
        </is>
      </c>
      <c r="G274" s="8" t="n">
        <v>3</v>
      </c>
      <c r="H274" s="9" t="n">
        <v>99.68000000000001</v>
      </c>
      <c r="I274" s="10" t="n">
        <v>0.36661147</v>
      </c>
      <c r="J274" s="10" t="n">
        <v>299.04</v>
      </c>
      <c r="K274" s="10" t="n">
        <v>-6.980735</v>
      </c>
      <c r="L274" s="8" t="inlineStr">
        <is>
          <t>ARCA</t>
        </is>
      </c>
      <c r="M274" s="8" t="inlineStr">
        <is>
          <t>LIMIT</t>
        </is>
      </c>
    </row>
    <row r="275">
      <c r="A275" s="11" t="inlineStr">
        <is>
          <t>2026-06-01</t>
        </is>
      </c>
      <c r="B275" s="11" t="inlineStr">
        <is>
          <t>MP</t>
        </is>
      </c>
      <c r="C275" s="11" t="inlineStr">
        <is>
          <t>MP MATERIALS CORP</t>
        </is>
      </c>
      <c r="D275" s="11" t="inlineStr">
        <is>
          <t>STK</t>
        </is>
      </c>
      <c r="E275" s="11" t="inlineStr">
        <is>
          <t>USD</t>
        </is>
      </c>
      <c r="F275" s="11" t="inlineStr">
        <is>
          <t>BUY</t>
        </is>
      </c>
      <c r="G275" s="11" t="n">
        <v>3</v>
      </c>
      <c r="H275" s="12" t="n">
        <v>70.065</v>
      </c>
      <c r="I275" s="13" t="n">
        <v>0.35086625</v>
      </c>
      <c r="J275" s="13" t="n">
        <v>210.195</v>
      </c>
      <c r="K275" s="13" t="n">
        <v>0</v>
      </c>
      <c r="L275" s="11" t="inlineStr">
        <is>
          <t>IBKRATS</t>
        </is>
      </c>
      <c r="M275" s="11" t="inlineStr">
        <is>
          <t>LIMIT</t>
        </is>
      </c>
    </row>
    <row r="276">
      <c r="A276" s="8" t="inlineStr">
        <is>
          <t>2026-06-01</t>
        </is>
      </c>
      <c r="B276" s="8" t="inlineStr">
        <is>
          <t>ONDS</t>
        </is>
      </c>
      <c r="C276" s="8" t="inlineStr">
        <is>
          <t>ONDAS INC</t>
        </is>
      </c>
      <c r="D276" s="8" t="inlineStr">
        <is>
          <t>STK</t>
        </is>
      </c>
      <c r="E276" s="8" t="inlineStr">
        <is>
          <t>USD</t>
        </is>
      </c>
      <c r="F276" s="8" t="inlineStr">
        <is>
          <t>BUY</t>
        </is>
      </c>
      <c r="G276" s="8" t="n">
        <v>10</v>
      </c>
      <c r="H276" s="9" t="n">
        <v>13.84</v>
      </c>
      <c r="I276" s="10" t="n">
        <v>0.38228725</v>
      </c>
      <c r="J276" s="10" t="n">
        <v>138.4</v>
      </c>
      <c r="K276" s="10" t="n">
        <v>0</v>
      </c>
      <c r="L276" s="8" t="inlineStr">
        <is>
          <t>NASDAQ</t>
        </is>
      </c>
      <c r="M276" s="8" t="inlineStr">
        <is>
          <t>LIMIT</t>
        </is>
      </c>
    </row>
    <row r="277">
      <c r="A277" s="11" t="inlineStr">
        <is>
          <t>2026-06-01</t>
        </is>
      </c>
      <c r="B277" s="11" t="inlineStr">
        <is>
          <t>RTX</t>
        </is>
      </c>
      <c r="C277" s="11" t="inlineStr">
        <is>
          <t>RTX CORP</t>
        </is>
      </c>
      <c r="D277" s="11" t="inlineStr">
        <is>
          <t>STK</t>
        </is>
      </c>
      <c r="E277" s="11" t="inlineStr">
        <is>
          <t>USD</t>
        </is>
      </c>
      <c r="F277" s="11" t="inlineStr">
        <is>
          <t>SELL</t>
        </is>
      </c>
      <c r="G277" s="11" t="n">
        <v>2</v>
      </c>
      <c r="H277" s="12" t="n">
        <v>175.85</v>
      </c>
      <c r="I277" s="13" t="n">
        <v>0.35189827</v>
      </c>
      <c r="J277" s="13" t="n">
        <v>351.7</v>
      </c>
      <c r="K277" s="13" t="n">
        <v>-0.500161</v>
      </c>
      <c r="L277" s="11" t="inlineStr">
        <is>
          <t>NYSE</t>
        </is>
      </c>
      <c r="M277" s="11" t="inlineStr">
        <is>
          <t>LIMIT</t>
        </is>
      </c>
    </row>
    <row r="278">
      <c r="A278" s="8" t="inlineStr">
        <is>
          <t>2026-06-01</t>
        </is>
      </c>
      <c r="B278" s="8" t="inlineStr">
        <is>
          <t>ONDS</t>
        </is>
      </c>
      <c r="C278" s="8" t="inlineStr">
        <is>
          <t>ONDAS INC</t>
        </is>
      </c>
      <c r="D278" s="8" t="inlineStr">
        <is>
          <t>STK</t>
        </is>
      </c>
      <c r="E278" s="8" t="inlineStr">
        <is>
          <t>USD</t>
        </is>
      </c>
      <c r="F278" s="8" t="inlineStr">
        <is>
          <t>BUY</t>
        </is>
      </c>
      <c r="G278" s="8" t="n">
        <v>10</v>
      </c>
      <c r="H278" s="9" t="n">
        <v>13.7793</v>
      </c>
      <c r="I278" s="10" t="n">
        <v>0.35228725</v>
      </c>
      <c r="J278" s="10" t="n">
        <v>137.793</v>
      </c>
      <c r="K278" s="10" t="n">
        <v>0</v>
      </c>
      <c r="L278" s="8" t="inlineStr">
        <is>
          <t>DARK</t>
        </is>
      </c>
      <c r="M278" s="8" t="inlineStr">
        <is>
          <t>LIMIT</t>
        </is>
      </c>
    </row>
    <row r="279">
      <c r="A279" s="11" t="inlineStr">
        <is>
          <t>2026-06-01</t>
        </is>
      </c>
      <c r="B279" s="11" t="inlineStr">
        <is>
          <t>RDDT</t>
        </is>
      </c>
      <c r="C279" s="11" t="inlineStr">
        <is>
          <t>REDDIT INC-CL A</t>
        </is>
      </c>
      <c r="D279" s="11" t="inlineStr">
        <is>
          <t>STK</t>
        </is>
      </c>
      <c r="E279" s="11" t="inlineStr">
        <is>
          <t>USD</t>
        </is>
      </c>
      <c r="F279" s="11" t="inlineStr">
        <is>
          <t>BUY</t>
        </is>
      </c>
      <c r="G279" s="11" t="n">
        <v>3</v>
      </c>
      <c r="H279" s="12" t="n">
        <v>179.42</v>
      </c>
      <c r="I279" s="13" t="n">
        <v>0.35086625</v>
      </c>
      <c r="J279" s="13" t="n">
        <v>538.26</v>
      </c>
      <c r="K279" s="13" t="n">
        <v>0</v>
      </c>
      <c r="L279" s="11" t="inlineStr">
        <is>
          <t>IBKRATS</t>
        </is>
      </c>
      <c r="M279" s="11" t="inlineStr">
        <is>
          <t>LIMIT</t>
        </is>
      </c>
    </row>
    <row r="280">
      <c r="A280" s="8" t="inlineStr">
        <is>
          <t>2026-06-02</t>
        </is>
      </c>
      <c r="B280" s="8" t="inlineStr">
        <is>
          <t>URNM</t>
        </is>
      </c>
      <c r="C280" s="8" t="inlineStr">
        <is>
          <t>SPROTT URANIUM MINERS ETF</t>
        </is>
      </c>
      <c r="D280" s="8" t="inlineStr">
        <is>
          <t>STK</t>
        </is>
      </c>
      <c r="E280" s="8" t="inlineStr">
        <is>
          <t>USD</t>
        </is>
      </c>
      <c r="F280" s="8" t="inlineStr">
        <is>
          <t>BUY</t>
        </is>
      </c>
      <c r="G280" s="8" t="n">
        <v>5</v>
      </c>
      <c r="H280" s="9" t="n">
        <v>64.72</v>
      </c>
      <c r="I280" s="10" t="n">
        <v>0.35127225</v>
      </c>
      <c r="J280" s="10" t="n">
        <v>323.6</v>
      </c>
      <c r="K280" s="10" t="n">
        <v>0</v>
      </c>
      <c r="L280" s="8" t="inlineStr">
        <is>
          <t>IBKRATS</t>
        </is>
      </c>
      <c r="M280" s="8" t="inlineStr">
        <is>
          <t>LIMIT</t>
        </is>
      </c>
    </row>
    <row r="281">
      <c r="A281" s="11" t="inlineStr">
        <is>
          <t>2026-06-03</t>
        </is>
      </c>
      <c r="B281" s="11" t="inlineStr">
        <is>
          <t>AEHR</t>
        </is>
      </c>
      <c r="C281" s="11" t="inlineStr">
        <is>
          <t>AEHR TEST SYSTEMS</t>
        </is>
      </c>
      <c r="D281" s="11" t="inlineStr">
        <is>
          <t>STK</t>
        </is>
      </c>
      <c r="E281" s="11" t="inlineStr">
        <is>
          <t>USD</t>
        </is>
      </c>
      <c r="F281" s="11" t="inlineStr">
        <is>
          <t>SELL</t>
        </is>
      </c>
      <c r="G281" s="11" t="n">
        <v>2</v>
      </c>
      <c r="H281" s="12" t="n">
        <v>115.055</v>
      </c>
      <c r="I281" s="13" t="n">
        <v>0.35579352</v>
      </c>
      <c r="J281" s="13" t="n">
        <v>230.11</v>
      </c>
      <c r="K281" s="13" t="n">
        <v>26.753698</v>
      </c>
      <c r="L281" s="11" t="inlineStr">
        <is>
          <t>DARK</t>
        </is>
      </c>
      <c r="M281" s="11" t="inlineStr">
        <is>
          <t>LIMIT</t>
        </is>
      </c>
    </row>
    <row r="282">
      <c r="A282" s="8" t="inlineStr">
        <is>
          <t>2026-06-03</t>
        </is>
      </c>
      <c r="B282" s="8" t="inlineStr">
        <is>
          <t>AEHR</t>
        </is>
      </c>
      <c r="C282" s="8" t="inlineStr">
        <is>
          <t>AEHR TEST SYSTEMS</t>
        </is>
      </c>
      <c r="D282" s="8" t="inlineStr">
        <is>
          <t>STK</t>
        </is>
      </c>
      <c r="E282" s="8" t="inlineStr">
        <is>
          <t>USD</t>
        </is>
      </c>
      <c r="F282" s="8" t="inlineStr">
        <is>
          <t>SELL</t>
        </is>
      </c>
      <c r="G282" s="8" t="n">
        <v>3</v>
      </c>
      <c r="H282" s="9" t="n">
        <v>114.22</v>
      </c>
      <c r="I282" s="10" t="n">
        <v>0.35851005</v>
      </c>
      <c r="J282" s="10" t="n">
        <v>342.66</v>
      </c>
      <c r="K282" s="10" t="n">
        <v>37.800727</v>
      </c>
      <c r="L282" s="8" t="inlineStr">
        <is>
          <t>DARK</t>
        </is>
      </c>
      <c r="M282" s="8" t="inlineStr">
        <is>
          <t>LIMIT</t>
        </is>
      </c>
    </row>
    <row r="283">
      <c r="A283" s="11" t="inlineStr">
        <is>
          <t>2026-06-05</t>
        </is>
      </c>
      <c r="B283" s="11" t="inlineStr">
        <is>
          <t>GDX</t>
        </is>
      </c>
      <c r="C283" s="11" t="inlineStr">
        <is>
          <t>VANECK GOLD MINERS ETF</t>
        </is>
      </c>
      <c r="D283" s="11" t="inlineStr">
        <is>
          <t>STK</t>
        </is>
      </c>
      <c r="E283" s="11" t="inlineStr">
        <is>
          <t>USD</t>
        </is>
      </c>
      <c r="F283" s="11" t="inlineStr">
        <is>
          <t>BUY</t>
        </is>
      </c>
      <c r="G283" s="11" t="n">
        <v>3</v>
      </c>
      <c r="H283" s="12" t="n">
        <v>79.31999999999999</v>
      </c>
      <c r="I283" s="13" t="n">
        <v>0.34606625</v>
      </c>
      <c r="J283" s="13" t="n">
        <v>237.96</v>
      </c>
      <c r="K283" s="13" t="n">
        <v>0</v>
      </c>
      <c r="L283" s="11" t="inlineStr">
        <is>
          <t>ARCA</t>
        </is>
      </c>
      <c r="M283" s="11" t="inlineStr">
        <is>
          <t>LIMIT</t>
        </is>
      </c>
    </row>
    <row r="284">
      <c r="A284" s="8" t="inlineStr">
        <is>
          <t>2026-06-05</t>
        </is>
      </c>
      <c r="B284" s="8" t="inlineStr">
        <is>
          <t>SIL</t>
        </is>
      </c>
      <c r="C284" s="8" t="inlineStr">
        <is>
          <t>GLOBAL X SILVER MINERS ETF</t>
        </is>
      </c>
      <c r="D284" s="8" t="inlineStr">
        <is>
          <t>STK</t>
        </is>
      </c>
      <c r="E284" s="8" t="inlineStr">
        <is>
          <t>USD</t>
        </is>
      </c>
      <c r="F284" s="8" t="inlineStr">
        <is>
          <t>BUY</t>
        </is>
      </c>
      <c r="G284" s="8" t="n">
        <v>3</v>
      </c>
      <c r="H284" s="9" t="n">
        <v>79.1983</v>
      </c>
      <c r="I284" s="10" t="n">
        <v>0.35086625</v>
      </c>
      <c r="J284" s="10" t="n">
        <v>237.5949</v>
      </c>
      <c r="K284" s="10" t="n">
        <v>0</v>
      </c>
      <c r="L284" s="8" t="inlineStr">
        <is>
          <t>DARK</t>
        </is>
      </c>
      <c r="M284" s="8" t="inlineStr">
        <is>
          <t>LIMIT</t>
        </is>
      </c>
    </row>
    <row r="285">
      <c r="A285" s="11" t="inlineStr">
        <is>
          <t>2026-06-09</t>
        </is>
      </c>
      <c r="B285" s="11" t="inlineStr">
        <is>
          <t>MP</t>
        </is>
      </c>
      <c r="C285" s="11" t="inlineStr">
        <is>
          <t>MP MATERIALS CORP</t>
        </is>
      </c>
      <c r="D285" s="11" t="inlineStr">
        <is>
          <t>STK</t>
        </is>
      </c>
      <c r="E285" s="11" t="inlineStr">
        <is>
          <t>USD</t>
        </is>
      </c>
      <c r="F285" s="11" t="inlineStr">
        <is>
          <t>SELL</t>
        </is>
      </c>
      <c r="G285" s="11" t="n">
        <v>3</v>
      </c>
      <c r="H285" s="12" t="n">
        <v>53.17</v>
      </c>
      <c r="I285" s="13" t="n">
        <v>0.34513716</v>
      </c>
      <c r="J285" s="13" t="n">
        <v>159.51</v>
      </c>
      <c r="K285" s="13" t="n">
        <v>-51.381003</v>
      </c>
      <c r="L285" s="11" t="inlineStr">
        <is>
          <t>NYSE</t>
        </is>
      </c>
      <c r="M285" s="11" t="inlineStr">
        <is>
          <t>LIMIT</t>
        </is>
      </c>
    </row>
    <row r="286">
      <c r="A286" s="8" t="inlineStr">
        <is>
          <t>2026-06-09</t>
        </is>
      </c>
      <c r="B286" s="8" t="inlineStr">
        <is>
          <t>DDOG</t>
        </is>
      </c>
      <c r="C286" s="8" t="inlineStr">
        <is>
          <t>DATADOG INC - CLASS A</t>
        </is>
      </c>
      <c r="D286" s="8" t="inlineStr">
        <is>
          <t>STK</t>
        </is>
      </c>
      <c r="E286" s="8" t="inlineStr">
        <is>
          <t>USD</t>
        </is>
      </c>
      <c r="F286" s="8" t="inlineStr">
        <is>
          <t>BUY</t>
        </is>
      </c>
      <c r="G286" s="8" t="n">
        <v>2</v>
      </c>
      <c r="H286" s="9" t="n">
        <v>228.05</v>
      </c>
      <c r="I286" s="10" t="n">
        <v>0.34666325</v>
      </c>
      <c r="J286" s="10" t="n">
        <v>456.1</v>
      </c>
      <c r="K286" s="10" t="n">
        <v>0</v>
      </c>
      <c r="L286" s="8" t="inlineStr">
        <is>
          <t>ARCA</t>
        </is>
      </c>
      <c r="M286" s="8" t="inlineStr">
        <is>
          <t>LIMIT</t>
        </is>
      </c>
    </row>
    <row r="287">
      <c r="A287" s="11" t="inlineStr">
        <is>
          <t>2026-06-09</t>
        </is>
      </c>
      <c r="B287" s="11" t="inlineStr">
        <is>
          <t>USD.AED</t>
        </is>
      </c>
      <c r="C287" s="11" t="inlineStr">
        <is>
          <t>United States dollar</t>
        </is>
      </c>
      <c r="D287" s="11" t="inlineStr">
        <is>
          <t>CASH</t>
        </is>
      </c>
      <c r="E287" s="11" t="inlineStr">
        <is>
          <t>AED</t>
        </is>
      </c>
      <c r="F287" s="11" t="inlineStr">
        <is>
          <t>BUY</t>
        </is>
      </c>
      <c r="G287" s="11" t="n">
        <v>227</v>
      </c>
      <c r="H287" s="12" t="n">
        <v>3.67444</v>
      </c>
      <c r="I287" s="13" t="n">
        <v>0</v>
      </c>
      <c r="J287" s="13" t="n">
        <v>-834.09788</v>
      </c>
      <c r="K287" s="13" t="n">
        <v>0</v>
      </c>
      <c r="L287" s="11" t="inlineStr">
        <is>
          <t>FXCONV</t>
        </is>
      </c>
      <c r="M287" s="11" t="inlineStr">
        <is>
          <t>MARKET</t>
        </is>
      </c>
    </row>
    <row r="288">
      <c r="A288" s="8" t="inlineStr">
        <is>
          <t>2026-06-09</t>
        </is>
      </c>
      <c r="B288" s="8" t="inlineStr">
        <is>
          <t>VSH</t>
        </is>
      </c>
      <c r="C288" s="8" t="inlineStr">
        <is>
          <t>VISHAY INTERTECHNOLOGY INC</t>
        </is>
      </c>
      <c r="D288" s="8" t="inlineStr">
        <is>
          <t>STK</t>
        </is>
      </c>
      <c r="E288" s="8" t="inlineStr">
        <is>
          <t>USD</t>
        </is>
      </c>
      <c r="F288" s="8" t="inlineStr">
        <is>
          <t>BUY</t>
        </is>
      </c>
      <c r="G288" s="8" t="n">
        <v>4</v>
      </c>
      <c r="H288" s="9" t="n">
        <v>58.01</v>
      </c>
      <c r="I288" s="10" t="n">
        <v>0.33826925</v>
      </c>
      <c r="J288" s="10" t="n">
        <v>232.04</v>
      </c>
      <c r="K288" s="10" t="n">
        <v>0</v>
      </c>
      <c r="L288" s="8" t="inlineStr">
        <is>
          <t>NYSE</t>
        </is>
      </c>
      <c r="M288" s="8" t="inlineStr">
        <is>
          <t>LIMIT</t>
        </is>
      </c>
    </row>
    <row r="289">
      <c r="A289" s="11" t="inlineStr">
        <is>
          <t>2026-06-09</t>
        </is>
      </c>
      <c r="B289" s="11" t="inlineStr">
        <is>
          <t>USD.AED</t>
        </is>
      </c>
      <c r="C289" s="11" t="inlineStr">
        <is>
          <t>United States dollar</t>
        </is>
      </c>
      <c r="D289" s="11" t="inlineStr">
        <is>
          <t>CASH</t>
        </is>
      </c>
      <c r="E289" s="11" t="inlineStr">
        <is>
          <t>AED</t>
        </is>
      </c>
      <c r="F289" s="11" t="inlineStr">
        <is>
          <t>BUY</t>
        </is>
      </c>
      <c r="G289" s="11" t="n">
        <v>236</v>
      </c>
      <c r="H289" s="12" t="n">
        <v>3.67444</v>
      </c>
      <c r="I289" s="13" t="n">
        <v>0</v>
      </c>
      <c r="J289" s="13" t="n">
        <v>-867.16784</v>
      </c>
      <c r="K289" s="13" t="n">
        <v>0</v>
      </c>
      <c r="L289" s="11" t="inlineStr">
        <is>
          <t>FXCONV</t>
        </is>
      </c>
      <c r="M289" s="11" t="inlineStr">
        <is>
          <t>MARKET</t>
        </is>
      </c>
    </row>
    <row r="290">
      <c r="A290" s="8" t="inlineStr">
        <is>
          <t>2026-06-09</t>
        </is>
      </c>
      <c r="B290" s="8" t="inlineStr">
        <is>
          <t>VSH</t>
        </is>
      </c>
      <c r="C290" s="8" t="inlineStr">
        <is>
          <t>VISHAY INTERTECHNOLOGY INC</t>
        </is>
      </c>
      <c r="D290" s="8" t="inlineStr">
        <is>
          <t>STK</t>
        </is>
      </c>
      <c r="E290" s="8" t="inlineStr">
        <is>
          <t>USD</t>
        </is>
      </c>
      <c r="F290" s="8" t="inlineStr">
        <is>
          <t>BUY</t>
        </is>
      </c>
      <c r="G290" s="8" t="n">
        <v>4</v>
      </c>
      <c r="H290" s="9" t="n">
        <v>58.94</v>
      </c>
      <c r="I290" s="10" t="n">
        <v>0.33826925</v>
      </c>
      <c r="J290" s="10" t="n">
        <v>235.76</v>
      </c>
      <c r="K290" s="10" t="n">
        <v>0</v>
      </c>
      <c r="L290" s="8" t="inlineStr">
        <is>
          <t>NYSE</t>
        </is>
      </c>
      <c r="M290" s="8" t="inlineStr">
        <is>
          <t>LIMIT</t>
        </is>
      </c>
    </row>
    <row r="291">
      <c r="A291" s="11" t="inlineStr">
        <is>
          <t>2026-06-09</t>
        </is>
      </c>
      <c r="B291" s="11" t="inlineStr">
        <is>
          <t>USD.AED</t>
        </is>
      </c>
      <c r="C291" s="11" t="inlineStr">
        <is>
          <t>United States dollar</t>
        </is>
      </c>
      <c r="D291" s="11" t="inlineStr">
        <is>
          <t>CASH</t>
        </is>
      </c>
      <c r="E291" s="11" t="inlineStr">
        <is>
          <t>AED</t>
        </is>
      </c>
      <c r="F291" s="11" t="inlineStr">
        <is>
          <t>BUY</t>
        </is>
      </c>
      <c r="G291" s="11" t="n">
        <v>228</v>
      </c>
      <c r="H291" s="12" t="n">
        <v>3.67444</v>
      </c>
      <c r="I291" s="13" t="n">
        <v>0</v>
      </c>
      <c r="J291" s="13" t="n">
        <v>-837.77232</v>
      </c>
      <c r="K291" s="13" t="n">
        <v>0</v>
      </c>
      <c r="L291" s="11" t="inlineStr">
        <is>
          <t>FXCONV</t>
        </is>
      </c>
      <c r="M291" s="11" t="inlineStr">
        <is>
          <t>MARKET</t>
        </is>
      </c>
    </row>
    <row r="292">
      <c r="A292" s="8" t="inlineStr">
        <is>
          <t>2026-06-09</t>
        </is>
      </c>
      <c r="B292" s="8" t="inlineStr">
        <is>
          <t>DDOG</t>
        </is>
      </c>
      <c r="C292" s="8" t="inlineStr">
        <is>
          <t>DATADOG INC - CLASS A</t>
        </is>
      </c>
      <c r="D292" s="8" t="inlineStr">
        <is>
          <t>STK</t>
        </is>
      </c>
      <c r="E292" s="8" t="inlineStr">
        <is>
          <t>USD</t>
        </is>
      </c>
      <c r="F292" s="8" t="inlineStr">
        <is>
          <t>BUY</t>
        </is>
      </c>
      <c r="G292" s="8" t="n">
        <v>1</v>
      </c>
      <c r="H292" s="9" t="n">
        <v>227.82</v>
      </c>
      <c r="I292" s="10" t="n">
        <v>0.35046025</v>
      </c>
      <c r="J292" s="10" t="n">
        <v>227.82</v>
      </c>
      <c r="K292" s="10" t="n">
        <v>0</v>
      </c>
      <c r="L292" s="8" t="inlineStr">
        <is>
          <t>IBKRATS</t>
        </is>
      </c>
      <c r="M292" s="8" t="inlineStr">
        <is>
          <t>LIMIT</t>
        </is>
      </c>
    </row>
    <row r="293">
      <c r="A293" s="11" t="inlineStr">
        <is>
          <t>2026-06-11</t>
        </is>
      </c>
      <c r="B293" s="11" t="inlineStr">
        <is>
          <t>USD.AED</t>
        </is>
      </c>
      <c r="C293" s="11" t="inlineStr">
        <is>
          <t>United States dollar</t>
        </is>
      </c>
      <c r="D293" s="11" t="inlineStr">
        <is>
          <t>CASH</t>
        </is>
      </c>
      <c r="E293" s="11" t="inlineStr">
        <is>
          <t>AED</t>
        </is>
      </c>
      <c r="F293" s="11" t="inlineStr">
        <is>
          <t>BUY</t>
        </is>
      </c>
      <c r="G293" s="11" t="n">
        <v>405</v>
      </c>
      <c r="H293" s="12" t="n">
        <v>3.67446</v>
      </c>
      <c r="I293" s="13" t="n">
        <v>0</v>
      </c>
      <c r="J293" s="13" t="n">
        <v>-1488.1563</v>
      </c>
      <c r="K293" s="13" t="n">
        <v>0</v>
      </c>
      <c r="L293" s="11" t="inlineStr">
        <is>
          <t>FXCONV</t>
        </is>
      </c>
      <c r="M293" s="11" t="inlineStr">
        <is>
          <t>MARKET</t>
        </is>
      </c>
    </row>
    <row r="294">
      <c r="A294" s="8" t="inlineStr">
        <is>
          <t>2026-06-11</t>
        </is>
      </c>
      <c r="B294" s="8" t="inlineStr">
        <is>
          <t>FPS</t>
        </is>
      </c>
      <c r="C294" s="8" t="inlineStr">
        <is>
          <t>FORGENT POWER SOLUTIONS-CL A</t>
        </is>
      </c>
      <c r="D294" s="8" t="inlineStr">
        <is>
          <t>STK</t>
        </is>
      </c>
      <c r="E294" s="8" t="inlineStr">
        <is>
          <t>USD</t>
        </is>
      </c>
      <c r="F294" s="8" t="inlineStr">
        <is>
          <t>BUY</t>
        </is>
      </c>
      <c r="G294" s="8" t="n">
        <v>7</v>
      </c>
      <c r="H294" s="9" t="n">
        <v>57.96</v>
      </c>
      <c r="I294" s="10" t="n">
        <v>0.35167825</v>
      </c>
      <c r="J294" s="10" t="n">
        <v>405.72</v>
      </c>
      <c r="K294" s="10" t="n">
        <v>0</v>
      </c>
      <c r="L294" s="8" t="inlineStr">
        <is>
          <t>IBKRATS</t>
        </is>
      </c>
      <c r="M294" s="8" t="inlineStr">
        <is>
          <t>LIMIT</t>
        </is>
      </c>
    </row>
    <row r="295">
      <c r="A295" s="11" t="inlineStr">
        <is>
          <t>2026-06-11</t>
        </is>
      </c>
      <c r="B295" s="11" t="inlineStr">
        <is>
          <t>UVIX</t>
        </is>
      </c>
      <c r="C295" s="11" t="inlineStr"/>
      <c r="D295" s="11" t="inlineStr">
        <is>
          <t>STK</t>
        </is>
      </c>
      <c r="E295" s="11" t="inlineStr">
        <is>
          <t>USD</t>
        </is>
      </c>
      <c r="F295" s="11" t="inlineStr">
        <is>
          <t>SELL</t>
        </is>
      </c>
      <c r="G295" s="11" t="n">
        <v>40</v>
      </c>
      <c r="H295" s="12" t="n">
        <v>4.125</v>
      </c>
      <c r="I295" s="13" t="n">
        <v>0.36957625</v>
      </c>
      <c r="J295" s="13" t="n">
        <v>165</v>
      </c>
      <c r="K295" s="13" t="n">
        <v>-106.727833</v>
      </c>
      <c r="L295" s="11" t="inlineStr">
        <is>
          <t>DARK</t>
        </is>
      </c>
      <c r="M295" s="11" t="inlineStr">
        <is>
          <t>LIMIT</t>
        </is>
      </c>
    </row>
    <row r="296">
      <c r="A296" s="8" t="inlineStr">
        <is>
          <t>2026-06-12</t>
        </is>
      </c>
      <c r="B296" s="8" t="inlineStr">
        <is>
          <t>USD.AED</t>
        </is>
      </c>
      <c r="C296" s="8" t="inlineStr">
        <is>
          <t>United States dollar</t>
        </is>
      </c>
      <c r="D296" s="8" t="inlineStr">
        <is>
          <t>CASH</t>
        </is>
      </c>
      <c r="E296" s="8" t="inlineStr">
        <is>
          <t>AED</t>
        </is>
      </c>
      <c r="F296" s="8" t="inlineStr">
        <is>
          <t>BUY</t>
        </is>
      </c>
      <c r="G296" s="8" t="n">
        <v>99</v>
      </c>
      <c r="H296" s="9" t="n">
        <v>3.67425</v>
      </c>
      <c r="I296" s="10" t="n">
        <v>0</v>
      </c>
      <c r="J296" s="10" t="n">
        <v>-363.75075</v>
      </c>
      <c r="K296" s="10" t="n">
        <v>0</v>
      </c>
      <c r="L296" s="8" t="inlineStr">
        <is>
          <t>FXCONV</t>
        </is>
      </c>
      <c r="M296" s="8" t="inlineStr">
        <is>
          <t>MARKET</t>
        </is>
      </c>
    </row>
    <row r="297">
      <c r="A297" s="11" t="inlineStr">
        <is>
          <t>2026-06-12</t>
        </is>
      </c>
      <c r="B297" s="11" t="inlineStr">
        <is>
          <t>DRAM</t>
        </is>
      </c>
      <c r="C297" s="11" t="inlineStr">
        <is>
          <t>ROUNDHILL MEMORY ETF</t>
        </is>
      </c>
      <c r="D297" s="11" t="inlineStr">
        <is>
          <t>STK</t>
        </is>
      </c>
      <c r="E297" s="11" t="inlineStr">
        <is>
          <t>USD</t>
        </is>
      </c>
      <c r="F297" s="11" t="inlineStr">
        <is>
          <t>BUY</t>
        </is>
      </c>
      <c r="G297" s="11" t="n">
        <v>4</v>
      </c>
      <c r="H297" s="12" t="n">
        <v>65.825</v>
      </c>
      <c r="I297" s="13" t="n">
        <v>0.35106925</v>
      </c>
      <c r="J297" s="13" t="n">
        <v>263.3</v>
      </c>
      <c r="K297" s="13" t="n">
        <v>0</v>
      </c>
      <c r="L297" s="11" t="inlineStr">
        <is>
          <t>DARK</t>
        </is>
      </c>
      <c r="M297" s="11" t="inlineStr">
        <is>
          <t>LIMIT</t>
        </is>
      </c>
    </row>
    <row r="298">
      <c r="A298" s="8" t="inlineStr">
        <is>
          <t>2026-06-15</t>
        </is>
      </c>
      <c r="B298" s="8" t="inlineStr">
        <is>
          <t>VSH</t>
        </is>
      </c>
      <c r="C298" s="8" t="inlineStr">
        <is>
          <t>VISHAY INTERTECHNOLOGY INC</t>
        </is>
      </c>
      <c r="D298" s="8" t="inlineStr">
        <is>
          <t>STK</t>
        </is>
      </c>
      <c r="E298" s="8" t="inlineStr">
        <is>
          <t>USD</t>
        </is>
      </c>
      <c r="F298" s="8" t="inlineStr">
        <is>
          <t>BUY</t>
        </is>
      </c>
      <c r="G298" s="8" t="n">
        <v>2</v>
      </c>
      <c r="H298" s="9" t="n">
        <v>63.14</v>
      </c>
      <c r="I298" s="10" t="n">
        <v>0.34826325</v>
      </c>
      <c r="J298" s="10" t="n">
        <v>126.28</v>
      </c>
      <c r="K298" s="10" t="n">
        <v>0</v>
      </c>
      <c r="L298" s="8" t="inlineStr">
        <is>
          <t>IBKRATS</t>
        </is>
      </c>
      <c r="M298" s="8" t="inlineStr">
        <is>
          <t>LIMIT</t>
        </is>
      </c>
    </row>
    <row r="299">
      <c r="A299" s="11" t="inlineStr">
        <is>
          <t>2026-06-15</t>
        </is>
      </c>
      <c r="B299" s="11" t="inlineStr">
        <is>
          <t>USD.AED</t>
        </is>
      </c>
      <c r="C299" s="11" t="inlineStr">
        <is>
          <t>United States dollar</t>
        </is>
      </c>
      <c r="D299" s="11" t="inlineStr">
        <is>
          <t>CASH</t>
        </is>
      </c>
      <c r="E299" s="11" t="inlineStr">
        <is>
          <t>AED</t>
        </is>
      </c>
      <c r="F299" s="11" t="inlineStr">
        <is>
          <t>BUY</t>
        </is>
      </c>
      <c r="G299" s="11" t="n">
        <v>126</v>
      </c>
      <c r="H299" s="12" t="n">
        <v>3.67443</v>
      </c>
      <c r="I299" s="13" t="n">
        <v>0</v>
      </c>
      <c r="J299" s="13" t="n">
        <v>-462.97818</v>
      </c>
      <c r="K299" s="13" t="n">
        <v>0</v>
      </c>
      <c r="L299" s="11" t="inlineStr">
        <is>
          <t>FXCONV</t>
        </is>
      </c>
      <c r="M299" s="11" t="inlineStr">
        <is>
          <t>MARKET</t>
        </is>
      </c>
    </row>
    <row r="300">
      <c r="A300" s="8" t="inlineStr">
        <is>
          <t>2026-06-15</t>
        </is>
      </c>
      <c r="B300" s="8" t="inlineStr">
        <is>
          <t>USD.AED</t>
        </is>
      </c>
      <c r="C300" s="8" t="inlineStr">
        <is>
          <t>United States dollar</t>
        </is>
      </c>
      <c r="D300" s="8" t="inlineStr">
        <is>
          <t>CASH</t>
        </is>
      </c>
      <c r="E300" s="8" t="inlineStr">
        <is>
          <t>AED</t>
        </is>
      </c>
      <c r="F300" s="8" t="inlineStr">
        <is>
          <t>BUY</t>
        </is>
      </c>
      <c r="G300" s="8" t="n">
        <v>1</v>
      </c>
      <c r="H300" s="9" t="n">
        <v>3.67446</v>
      </c>
      <c r="I300" s="10" t="n">
        <v>0</v>
      </c>
      <c r="J300" s="10" t="n">
        <v>-3.67446</v>
      </c>
      <c r="K300" s="10" t="n">
        <v>0</v>
      </c>
      <c r="L300" s="8" t="inlineStr">
        <is>
          <t>FXCONV</t>
        </is>
      </c>
      <c r="M300" s="8" t="inlineStr">
        <is>
          <t>MARKET</t>
        </is>
      </c>
    </row>
    <row r="301">
      <c r="A301" s="11" t="inlineStr">
        <is>
          <t>2026-06-15</t>
        </is>
      </c>
      <c r="B301" s="11" t="inlineStr">
        <is>
          <t>MSFT</t>
        </is>
      </c>
      <c r="C301" s="11" t="inlineStr">
        <is>
          <t>MICROSOFT CORP</t>
        </is>
      </c>
      <c r="D301" s="11" t="inlineStr">
        <is>
          <t>STK</t>
        </is>
      </c>
      <c r="E301" s="11" t="inlineStr">
        <is>
          <t>USD</t>
        </is>
      </c>
      <c r="F301" s="11" t="inlineStr">
        <is>
          <t>SELL</t>
        </is>
      </c>
      <c r="G301" s="11" t="n">
        <v>1</v>
      </c>
      <c r="H301" s="12" t="n">
        <v>400.985</v>
      </c>
      <c r="I301" s="13" t="n">
        <v>0.35891554</v>
      </c>
      <c r="J301" s="13" t="n">
        <v>400.985</v>
      </c>
      <c r="K301" s="13" t="n">
        <v>-18.484376</v>
      </c>
      <c r="L301" s="11" t="inlineStr">
        <is>
          <t>IBKRATS</t>
        </is>
      </c>
      <c r="M301" s="11" t="inlineStr">
        <is>
          <t>LIMIT</t>
        </is>
      </c>
    </row>
    <row r="302">
      <c r="A302" s="8" t="inlineStr">
        <is>
          <t>2026-06-15</t>
        </is>
      </c>
      <c r="B302" s="8" t="inlineStr">
        <is>
          <t>DRAM</t>
        </is>
      </c>
      <c r="C302" s="8" t="inlineStr">
        <is>
          <t>ROUNDHILL MEMORY ETF</t>
        </is>
      </c>
      <c r="D302" s="8" t="inlineStr">
        <is>
          <t>STK</t>
        </is>
      </c>
      <c r="E302" s="8" t="inlineStr">
        <is>
          <t>USD</t>
        </is>
      </c>
      <c r="F302" s="8" t="inlineStr">
        <is>
          <t>BUY</t>
        </is>
      </c>
      <c r="G302" s="8" t="n">
        <v>4</v>
      </c>
      <c r="H302" s="9" t="n">
        <v>70.5575</v>
      </c>
      <c r="I302" s="10" t="n">
        <v>0.35106925</v>
      </c>
      <c r="J302" s="10" t="n">
        <v>282.23</v>
      </c>
      <c r="K302" s="10" t="n">
        <v>0</v>
      </c>
      <c r="L302" s="8" t="inlineStr">
        <is>
          <t>DARK</t>
        </is>
      </c>
      <c r="M302" s="8" t="inlineStr">
        <is>
          <t>LIMIT</t>
        </is>
      </c>
    </row>
    <row r="303">
      <c r="A303" s="11" t="inlineStr">
        <is>
          <t>2026-06-18</t>
        </is>
      </c>
      <c r="B303" s="11" t="inlineStr">
        <is>
          <t>LMT</t>
        </is>
      </c>
      <c r="C303" s="11" t="inlineStr">
        <is>
          <t>LOCKHEED MARTIN CORP</t>
        </is>
      </c>
      <c r="D303" s="11" t="inlineStr">
        <is>
          <t>STK</t>
        </is>
      </c>
      <c r="E303" s="11" t="inlineStr">
        <is>
          <t>USD</t>
        </is>
      </c>
      <c r="F303" s="11" t="inlineStr">
        <is>
          <t>SELL</t>
        </is>
      </c>
      <c r="G303" s="11" t="n">
        <v>1</v>
      </c>
      <c r="H303" s="12" t="n">
        <v>509.28</v>
      </c>
      <c r="I303" s="13" t="n">
        <v>0.35934642</v>
      </c>
      <c r="J303" s="13" t="n">
        <v>509.28</v>
      </c>
      <c r="K303" s="13" t="n">
        <v>-19.239806</v>
      </c>
      <c r="L303" s="11" t="inlineStr">
        <is>
          <t>NASDAQ</t>
        </is>
      </c>
      <c r="M303" s="11" t="inlineStr">
        <is>
          <t>LIMIT</t>
        </is>
      </c>
    </row>
    <row r="304">
      <c r="A304" s="8" t="inlineStr">
        <is>
          <t>2026-06-18</t>
        </is>
      </c>
      <c r="B304" s="8" t="inlineStr">
        <is>
          <t>GLD</t>
        </is>
      </c>
      <c r="C304" s="8" t="inlineStr">
        <is>
          <t>SPDR GOLD SHARES</t>
        </is>
      </c>
      <c r="D304" s="8" t="inlineStr">
        <is>
          <t>STK</t>
        </is>
      </c>
      <c r="E304" s="8" t="inlineStr">
        <is>
          <t>USD</t>
        </is>
      </c>
      <c r="F304" s="8" t="inlineStr">
        <is>
          <t>SELL</t>
        </is>
      </c>
      <c r="G304" s="8" t="n">
        <v>1</v>
      </c>
      <c r="H304" s="9" t="n">
        <v>388.14</v>
      </c>
      <c r="I304" s="10" t="n">
        <v>0.35705093</v>
      </c>
      <c r="J304" s="10" t="n">
        <v>388.14</v>
      </c>
      <c r="K304" s="10" t="n">
        <v>-30.860511</v>
      </c>
      <c r="L304" s="8" t="inlineStr">
        <is>
          <t>ARCA</t>
        </is>
      </c>
      <c r="M304" s="8" t="inlineStr">
        <is>
          <t>LIMIT</t>
        </is>
      </c>
    </row>
    <row r="305">
      <c r="A305" s="11" t="inlineStr">
        <is>
          <t>2026-06-18</t>
        </is>
      </c>
      <c r="B305" s="11" t="inlineStr">
        <is>
          <t>GDX</t>
        </is>
      </c>
      <c r="C305" s="11" t="inlineStr">
        <is>
          <t>VANECK GOLD MINERS ETF</t>
        </is>
      </c>
      <c r="D305" s="11" t="inlineStr">
        <is>
          <t>STK</t>
        </is>
      </c>
      <c r="E305" s="11" t="inlineStr">
        <is>
          <t>USD</t>
        </is>
      </c>
      <c r="F305" s="11" t="inlineStr">
        <is>
          <t>SELL</t>
        </is>
      </c>
      <c r="G305" s="11" t="n">
        <v>3</v>
      </c>
      <c r="H305" s="12" t="n">
        <v>81.845</v>
      </c>
      <c r="I305" s="13" t="n">
        <v>0.35650927</v>
      </c>
      <c r="J305" s="13" t="n">
        <v>245.535</v>
      </c>
      <c r="K305" s="13" t="n">
        <v>6.872425</v>
      </c>
      <c r="L305" s="11" t="inlineStr">
        <is>
          <t>DARK</t>
        </is>
      </c>
      <c r="M305" s="11" t="inlineStr">
        <is>
          <t>LIMIT</t>
        </is>
      </c>
    </row>
    <row r="306">
      <c r="A306" s="8" t="inlineStr">
        <is>
          <t>2026-06-18</t>
        </is>
      </c>
      <c r="B306" s="8" t="inlineStr">
        <is>
          <t>SIL</t>
        </is>
      </c>
      <c r="C306" s="8" t="inlineStr">
        <is>
          <t>GLOBAL X SILVER MINERS ETF</t>
        </is>
      </c>
      <c r="D306" s="8" t="inlineStr">
        <is>
          <t>STK</t>
        </is>
      </c>
      <c r="E306" s="8" t="inlineStr">
        <is>
          <t>USD</t>
        </is>
      </c>
      <c r="F306" s="8" t="inlineStr">
        <is>
          <t>SELL</t>
        </is>
      </c>
      <c r="G306" s="8" t="n">
        <v>3</v>
      </c>
      <c r="H306" s="9" t="n">
        <v>82.90000000000001</v>
      </c>
      <c r="I306" s="10" t="n">
        <v>0.35177447</v>
      </c>
      <c r="J306" s="10" t="n">
        <v>248.7</v>
      </c>
      <c r="K306" s="10" t="n">
        <v>10.40246</v>
      </c>
      <c r="L306" s="8" t="inlineStr">
        <is>
          <t>ARCA</t>
        </is>
      </c>
      <c r="M306" s="8" t="inlineStr">
        <is>
          <t>LIMIT</t>
        </is>
      </c>
    </row>
    <row r="307">
      <c r="A307" s="11" t="inlineStr">
        <is>
          <t>2026-06-18</t>
        </is>
      </c>
      <c r="B307" s="11" t="inlineStr">
        <is>
          <t>HOOD</t>
        </is>
      </c>
      <c r="C307" s="11" t="inlineStr">
        <is>
          <t>ROBINHOOD MARKETS INC - A</t>
        </is>
      </c>
      <c r="D307" s="11" t="inlineStr">
        <is>
          <t>STK</t>
        </is>
      </c>
      <c r="E307" s="11" t="inlineStr">
        <is>
          <t>USD</t>
        </is>
      </c>
      <c r="F307" s="11" t="inlineStr">
        <is>
          <t>BUY</t>
        </is>
      </c>
      <c r="G307" s="11" t="n">
        <v>5</v>
      </c>
      <c r="H307" s="12" t="n">
        <v>105.3288</v>
      </c>
      <c r="I307" s="13" t="n">
        <v>0.35127225</v>
      </c>
      <c r="J307" s="13" t="n">
        <v>526.644</v>
      </c>
      <c r="K307" s="13" t="n">
        <v>0</v>
      </c>
      <c r="L307" s="11" t="inlineStr">
        <is>
          <t>DARK</t>
        </is>
      </c>
      <c r="M307" s="11" t="inlineStr">
        <is>
          <t>LIMIT</t>
        </is>
      </c>
    </row>
    <row r="308">
      <c r="A308" s="8" t="inlineStr">
        <is>
          <t>2026-06-18</t>
        </is>
      </c>
      <c r="B308" s="8" t="inlineStr">
        <is>
          <t>CGNX</t>
        </is>
      </c>
      <c r="C308" s="8" t="inlineStr">
        <is>
          <t>COGNEX CORP</t>
        </is>
      </c>
      <c r="D308" s="8" t="inlineStr">
        <is>
          <t>STK</t>
        </is>
      </c>
      <c r="E308" s="8" t="inlineStr">
        <is>
          <t>USD</t>
        </is>
      </c>
      <c r="F308" s="8" t="inlineStr">
        <is>
          <t>BUY</t>
        </is>
      </c>
      <c r="G308" s="8" t="n">
        <v>6</v>
      </c>
      <c r="H308" s="9" t="n">
        <v>66.3486</v>
      </c>
      <c r="I308" s="10" t="n">
        <v>0.35147525</v>
      </c>
      <c r="J308" s="10" t="n">
        <v>398.0916</v>
      </c>
      <c r="K308" s="10" t="n">
        <v>0</v>
      </c>
      <c r="L308" s="8" t="inlineStr">
        <is>
          <t>DARK</t>
        </is>
      </c>
      <c r="M308" s="8" t="inlineStr">
        <is>
          <t>LIMIT</t>
        </is>
      </c>
    </row>
    <row r="309">
      <c r="A309" s="11" t="inlineStr">
        <is>
          <t>2026-06-18</t>
        </is>
      </c>
      <c r="B309" s="11" t="inlineStr">
        <is>
          <t>WOLF</t>
        </is>
      </c>
      <c r="C309" s="11" t="inlineStr">
        <is>
          <t>WOLFSPEED INC</t>
        </is>
      </c>
      <c r="D309" s="11" t="inlineStr">
        <is>
          <t>STK</t>
        </is>
      </c>
      <c r="E309" s="11" t="inlineStr">
        <is>
          <t>USD</t>
        </is>
      </c>
      <c r="F309" s="11" t="inlineStr">
        <is>
          <t>BUY</t>
        </is>
      </c>
      <c r="G309" s="11" t="n">
        <v>8</v>
      </c>
      <c r="H309" s="12" t="n">
        <v>57.0165</v>
      </c>
      <c r="I309" s="13" t="n">
        <v>0.35188125</v>
      </c>
      <c r="J309" s="13" t="n">
        <v>456.132</v>
      </c>
      <c r="K309" s="13" t="n">
        <v>0</v>
      </c>
      <c r="L309" s="11" t="inlineStr">
        <is>
          <t>DARK</t>
        </is>
      </c>
      <c r="M309" s="11" t="inlineStr">
        <is>
          <t>LIMIT</t>
        </is>
      </c>
    </row>
    <row r="310">
      <c r="A310" s="8" t="inlineStr">
        <is>
          <t>2026-06-18</t>
        </is>
      </c>
      <c r="B310" s="8" t="inlineStr">
        <is>
          <t>SLV</t>
        </is>
      </c>
      <c r="C310" s="8" t="inlineStr">
        <is>
          <t>ISHARES SILVER TRUST</t>
        </is>
      </c>
      <c r="D310" s="8" t="inlineStr">
        <is>
          <t>STK</t>
        </is>
      </c>
      <c r="E310" s="8" t="inlineStr">
        <is>
          <t>USD</t>
        </is>
      </c>
      <c r="F310" s="8" t="inlineStr">
        <is>
          <t>SELL</t>
        </is>
      </c>
      <c r="G310" s="8" t="n">
        <v>3</v>
      </c>
      <c r="H310" s="9" t="n">
        <v>59.54</v>
      </c>
      <c r="I310" s="10" t="n">
        <v>0.35033082</v>
      </c>
      <c r="J310" s="10" t="n">
        <v>178.62</v>
      </c>
      <c r="K310" s="10" t="n">
        <v>-31.599097</v>
      </c>
      <c r="L310" s="8" t="inlineStr">
        <is>
          <t>ARCA</t>
        </is>
      </c>
      <c r="M310" s="8" t="inlineStr">
        <is>
          <t>LIMIT</t>
        </is>
      </c>
    </row>
    <row r="311">
      <c r="A311" s="11" t="inlineStr">
        <is>
          <t>2026-06-22</t>
        </is>
      </c>
      <c r="B311" s="11" t="inlineStr">
        <is>
          <t>DRAM</t>
        </is>
      </c>
      <c r="C311" s="11" t="inlineStr">
        <is>
          <t>ROUNDHILL MEMORY ETF</t>
        </is>
      </c>
      <c r="D311" s="11" t="inlineStr">
        <is>
          <t>STK</t>
        </is>
      </c>
      <c r="E311" s="11" t="inlineStr">
        <is>
          <t>USD</t>
        </is>
      </c>
      <c r="F311" s="11" t="inlineStr">
        <is>
          <t>BUY</t>
        </is>
      </c>
      <c r="G311" s="11" t="n">
        <v>2</v>
      </c>
      <c r="H311" s="12" t="n">
        <v>80.59</v>
      </c>
      <c r="I311" s="13" t="n">
        <v>0.35666325</v>
      </c>
      <c r="J311" s="13" t="n">
        <v>161.18</v>
      </c>
      <c r="K311" s="13" t="n">
        <v>0</v>
      </c>
      <c r="L311" s="11" t="inlineStr">
        <is>
          <t>ARCA</t>
        </is>
      </c>
      <c r="M311" s="11" t="inlineStr">
        <is>
          <t>LIMIT</t>
        </is>
      </c>
    </row>
    <row r="312">
      <c r="A312" s="8" t="inlineStr">
        <is>
          <t>2026-06-23</t>
        </is>
      </c>
      <c r="B312" s="8" t="inlineStr">
        <is>
          <t>USD.AED</t>
        </is>
      </c>
      <c r="C312" s="8" t="inlineStr">
        <is>
          <t>United States dollar</t>
        </is>
      </c>
      <c r="D312" s="8" t="inlineStr">
        <is>
          <t>CASH</t>
        </is>
      </c>
      <c r="E312" s="8" t="inlineStr">
        <is>
          <t>AED</t>
        </is>
      </c>
      <c r="F312" s="8" t="inlineStr">
        <is>
          <t>BUY</t>
        </is>
      </c>
      <c r="G312" s="8" t="n">
        <v>372</v>
      </c>
      <c r="H312" s="9" t="n">
        <v>3.67456</v>
      </c>
      <c r="I312" s="10" t="n">
        <v>0</v>
      </c>
      <c r="J312" s="10" t="n">
        <v>-1366.93632</v>
      </c>
      <c r="K312" s="10" t="n">
        <v>0</v>
      </c>
      <c r="L312" s="8" t="inlineStr">
        <is>
          <t>FXCONV</t>
        </is>
      </c>
      <c r="M312" s="8" t="inlineStr">
        <is>
          <t>MARKET</t>
        </is>
      </c>
    </row>
    <row r="313">
      <c r="A313" s="11" t="inlineStr">
        <is>
          <t>2026-06-23</t>
        </is>
      </c>
      <c r="B313" s="11" t="inlineStr">
        <is>
          <t>HOOD</t>
        </is>
      </c>
      <c r="C313" s="11" t="inlineStr">
        <is>
          <t>ROBINHOOD MARKETS INC - A</t>
        </is>
      </c>
      <c r="D313" s="11" t="inlineStr">
        <is>
          <t>STK</t>
        </is>
      </c>
      <c r="E313" s="11" t="inlineStr">
        <is>
          <t>USD</t>
        </is>
      </c>
      <c r="F313" s="11" t="inlineStr">
        <is>
          <t>BUY</t>
        </is>
      </c>
      <c r="G313" s="11" t="n">
        <v>5</v>
      </c>
      <c r="H313" s="12" t="n">
        <v>102.95</v>
      </c>
      <c r="I313" s="13" t="n">
        <v>0.34477225</v>
      </c>
      <c r="J313" s="13" t="n">
        <v>514.75</v>
      </c>
      <c r="K313" s="13" t="n">
        <v>0</v>
      </c>
      <c r="L313" s="11" t="inlineStr">
        <is>
          <t>NASDAQ</t>
        </is>
      </c>
      <c r="M313" s="11" t="inlineStr">
        <is>
          <t>LIMIT</t>
        </is>
      </c>
    </row>
    <row r="314">
      <c r="A314" s="8" t="inlineStr">
        <is>
          <t>2026-06-24</t>
        </is>
      </c>
      <c r="B314" s="8" t="inlineStr">
        <is>
          <t>RNMBY</t>
        </is>
      </c>
      <c r="C314" s="8" t="inlineStr">
        <is>
          <t>RHEINMETALL AG-UNSP ADR</t>
        </is>
      </c>
      <c r="D314" s="8" t="inlineStr">
        <is>
          <t>STK</t>
        </is>
      </c>
      <c r="E314" s="8" t="inlineStr">
        <is>
          <t>USD</t>
        </is>
      </c>
      <c r="F314" s="8" t="inlineStr">
        <is>
          <t>SELL</t>
        </is>
      </c>
      <c r="G314" s="8" t="n">
        <v>1</v>
      </c>
      <c r="H314" s="9" t="n">
        <v>215.11</v>
      </c>
      <c r="I314" s="10" t="n">
        <v>0.35508355</v>
      </c>
      <c r="J314" s="10" t="n">
        <v>215.11</v>
      </c>
      <c r="K314" s="10" t="n">
        <v>-86.565541</v>
      </c>
      <c r="L314" s="8" t="inlineStr">
        <is>
          <t>MM</t>
        </is>
      </c>
      <c r="M314" s="8" t="inlineStr">
        <is>
          <t>MARKET</t>
        </is>
      </c>
    </row>
    <row r="315">
      <c r="A315" s="11" t="inlineStr">
        <is>
          <t>2026-06-25</t>
        </is>
      </c>
      <c r="B315" s="11" t="inlineStr">
        <is>
          <t>DDOG</t>
        </is>
      </c>
      <c r="C315" s="11" t="inlineStr">
        <is>
          <t>DATADOG INC - CLASS A</t>
        </is>
      </c>
      <c r="D315" s="11" t="inlineStr">
        <is>
          <t>STK</t>
        </is>
      </c>
      <c r="E315" s="11" t="inlineStr">
        <is>
          <t>USD</t>
        </is>
      </c>
      <c r="F315" s="11" t="inlineStr">
        <is>
          <t>SELL</t>
        </is>
      </c>
      <c r="G315" s="11" t="n">
        <v>3</v>
      </c>
      <c r="H315" s="12" t="n">
        <v>222.01</v>
      </c>
      <c r="I315" s="13" t="n">
        <v>0.36517147</v>
      </c>
      <c r="J315" s="13" t="n">
        <v>666.03</v>
      </c>
      <c r="K315" s="13" t="n">
        <v>-18.952295</v>
      </c>
      <c r="L315" s="11" t="inlineStr">
        <is>
          <t>IBKRATS</t>
        </is>
      </c>
      <c r="M315" s="11" t="inlineStr">
        <is>
          <t>LIMIT</t>
        </is>
      </c>
    </row>
    <row r="316">
      <c r="A316" s="8" t="inlineStr">
        <is>
          <t>2026-06-25</t>
        </is>
      </c>
      <c r="B316" s="8" t="inlineStr">
        <is>
          <t>SEDG</t>
        </is>
      </c>
      <c r="C316" s="8" t="inlineStr">
        <is>
          <t>SOLAREDGE TECHNOLOGIES INC</t>
        </is>
      </c>
      <c r="D316" s="8" t="inlineStr">
        <is>
          <t>STK</t>
        </is>
      </c>
      <c r="E316" s="8" t="inlineStr">
        <is>
          <t>USD</t>
        </is>
      </c>
      <c r="F316" s="8" t="inlineStr">
        <is>
          <t>SELL</t>
        </is>
      </c>
      <c r="G316" s="8" t="n">
        <v>7</v>
      </c>
      <c r="H316" s="9" t="n">
        <v>51.83</v>
      </c>
      <c r="I316" s="10" t="n">
        <v>0.36051714</v>
      </c>
      <c r="J316" s="10" t="n">
        <v>362.81</v>
      </c>
      <c r="K316" s="10" t="n">
        <v>-97.00595199999999</v>
      </c>
      <c r="L316" s="8" t="inlineStr">
        <is>
          <t>IBKRATS</t>
        </is>
      </c>
      <c r="M316" s="8" t="inlineStr">
        <is>
          <t>LIMIT</t>
        </is>
      </c>
    </row>
    <row r="317">
      <c r="A317" s="11" t="inlineStr">
        <is>
          <t>2026-06-29</t>
        </is>
      </c>
      <c r="B317" s="11" t="inlineStr">
        <is>
          <t>VSH</t>
        </is>
      </c>
      <c r="C317" s="11" t="inlineStr">
        <is>
          <t>VISHAY INTERTECHNOLOGY INC</t>
        </is>
      </c>
      <c r="D317" s="11" t="inlineStr">
        <is>
          <t>STK</t>
        </is>
      </c>
      <c r="E317" s="11" t="inlineStr">
        <is>
          <t>USD</t>
        </is>
      </c>
      <c r="F317" s="11" t="inlineStr">
        <is>
          <t>BUY</t>
        </is>
      </c>
      <c r="G317" s="11" t="n">
        <v>8</v>
      </c>
      <c r="H317" s="12" t="n">
        <v>55.275</v>
      </c>
      <c r="I317" s="13" t="n">
        <v>0.351881</v>
      </c>
      <c r="J317" s="13" t="n">
        <v>442.2</v>
      </c>
      <c r="K317" s="13" t="n">
        <v>0</v>
      </c>
      <c r="L317" s="11" t="inlineStr">
        <is>
          <t>IBKRATS</t>
        </is>
      </c>
      <c r="M317" s="11" t="inlineStr">
        <is>
          <t>LIMIT</t>
        </is>
      </c>
    </row>
    <row r="318">
      <c r="A318" s="8" t="inlineStr">
        <is>
          <t>2026-06-29</t>
        </is>
      </c>
      <c r="B318" s="8" t="inlineStr">
        <is>
          <t>DRAM</t>
        </is>
      </c>
      <c r="C318" s="8" t="inlineStr">
        <is>
          <t>ROUNDHILL MEMORY ETF</t>
        </is>
      </c>
      <c r="D318" s="8" t="inlineStr">
        <is>
          <t>STK</t>
        </is>
      </c>
      <c r="E318" s="8" t="inlineStr">
        <is>
          <t>USD</t>
        </is>
      </c>
      <c r="F318" s="8" t="inlineStr">
        <is>
          <t>BUY</t>
        </is>
      </c>
      <c r="G318" s="8" t="n">
        <v>2</v>
      </c>
      <c r="H318" s="9" t="n">
        <v>71.52</v>
      </c>
      <c r="I318" s="10" t="n">
        <v>0.350663</v>
      </c>
      <c r="J318" s="10" t="n">
        <v>143.04</v>
      </c>
      <c r="K318" s="10" t="n">
        <v>0</v>
      </c>
      <c r="L318" s="8" t="inlineStr">
        <is>
          <t>IBKRATS</t>
        </is>
      </c>
      <c r="M318" s="8" t="inlineStr">
        <is>
          <t>LIMIT</t>
        </is>
      </c>
    </row>
    <row r="319">
      <c r="A319" s="11" t="inlineStr">
        <is>
          <t>2026-06-29</t>
        </is>
      </c>
      <c r="B319" s="11" t="inlineStr">
        <is>
          <t>RBRK</t>
        </is>
      </c>
      <c r="C319" s="11" t="inlineStr">
        <is>
          <t>RUBRIK INC-A</t>
        </is>
      </c>
      <c r="D319" s="11" t="inlineStr">
        <is>
          <t>STK</t>
        </is>
      </c>
      <c r="E319" s="11" t="inlineStr">
        <is>
          <t>USD</t>
        </is>
      </c>
      <c r="F319" s="11" t="inlineStr">
        <is>
          <t>BUY</t>
        </is>
      </c>
      <c r="G319" s="11" t="n">
        <v>7</v>
      </c>
      <c r="H319" s="12" t="n">
        <v>76.37</v>
      </c>
      <c r="I319" s="13" t="n">
        <v>0.329278</v>
      </c>
      <c r="J319" s="13" t="n">
        <v>534.59</v>
      </c>
      <c r="K319" s="13" t="n">
        <v>0</v>
      </c>
      <c r="L319" s="11" t="inlineStr">
        <is>
          <t>NYSE</t>
        </is>
      </c>
      <c r="M319" s="11" t="inlineStr">
        <is>
          <t>LIMIT</t>
        </is>
      </c>
    </row>
    <row r="320">
      <c r="A320" s="8" t="inlineStr">
        <is>
          <t>2026-06-29</t>
        </is>
      </c>
      <c r="B320" s="8" t="inlineStr">
        <is>
          <t>USD</t>
        </is>
      </c>
      <c r="C320" s="8" t="inlineStr">
        <is>
          <t>United States dollar</t>
        </is>
      </c>
      <c r="D320" s="8" t="inlineStr">
        <is>
          <t>CASH</t>
        </is>
      </c>
      <c r="E320" s="8" t="inlineStr">
        <is>
          <t>AED</t>
        </is>
      </c>
      <c r="F320" s="8" t="inlineStr">
        <is>
          <t>BUY</t>
        </is>
      </c>
      <c r="G320" s="8" t="n">
        <v>73</v>
      </c>
      <c r="H320" s="9" t="n">
        <v>3.67481</v>
      </c>
      <c r="I320" s="10" t="n">
        <v>0</v>
      </c>
      <c r="J320" s="10" t="n">
        <v>268.26113</v>
      </c>
      <c r="K320" s="10" t="n">
        <v>0</v>
      </c>
      <c r="L320" s="8" t="inlineStr">
        <is>
          <t>FXCONV</t>
        </is>
      </c>
      <c r="M320" s="8" t="inlineStr">
        <is>
          <t>MARKET</t>
        </is>
      </c>
    </row>
    <row r="321">
      <c r="A321" s="11" t="inlineStr">
        <is>
          <t>2026-06-29</t>
        </is>
      </c>
      <c r="B321" s="11" t="inlineStr">
        <is>
          <t>GDXJ</t>
        </is>
      </c>
      <c r="C321" s="11" t="inlineStr">
        <is>
          <t>VANECK JUNIOR GOLD MINERS</t>
        </is>
      </c>
      <c r="D321" s="11" t="inlineStr">
        <is>
          <t>STK</t>
        </is>
      </c>
      <c r="E321" s="11" t="inlineStr">
        <is>
          <t>USD</t>
        </is>
      </c>
      <c r="F321" s="11" t="inlineStr">
        <is>
          <t>BUY</t>
        </is>
      </c>
      <c r="G321" s="11" t="n">
        <v>1</v>
      </c>
      <c r="H321" s="12" t="n">
        <v>99.0487</v>
      </c>
      <c r="I321" s="13" t="n">
        <v>0.000203</v>
      </c>
      <c r="J321" s="13" t="n">
        <v>99.0487</v>
      </c>
      <c r="K321" s="13" t="n">
        <v>0</v>
      </c>
      <c r="L321" s="11" t="inlineStr">
        <is>
          <t>DARK</t>
        </is>
      </c>
      <c r="M321" s="11" t="inlineStr">
        <is>
          <t>LIMIT</t>
        </is>
      </c>
    </row>
    <row r="322">
      <c r="A322" s="8" t="inlineStr">
        <is>
          <t>2026-06-29</t>
        </is>
      </c>
      <c r="B322" s="8" t="inlineStr">
        <is>
          <t>GDXJ</t>
        </is>
      </c>
      <c r="C322" s="8" t="inlineStr">
        <is>
          <t>VANECK JUNIOR GOLD MINERS</t>
        </is>
      </c>
      <c r="D322" s="8" t="inlineStr">
        <is>
          <t>STK</t>
        </is>
      </c>
      <c r="E322" s="8" t="inlineStr">
        <is>
          <t>USD</t>
        </is>
      </c>
      <c r="F322" s="8" t="inlineStr">
        <is>
          <t>BUY</t>
        </is>
      </c>
      <c r="G322" s="8" t="n">
        <v>1</v>
      </c>
      <c r="H322" s="9" t="n">
        <v>99.05</v>
      </c>
      <c r="I322" s="10" t="n">
        <v>0.35046</v>
      </c>
      <c r="J322" s="10" t="n">
        <v>99.05</v>
      </c>
      <c r="K322" s="10" t="n">
        <v>0</v>
      </c>
      <c r="L322" s="8" t="inlineStr">
        <is>
          <t>DARK</t>
        </is>
      </c>
      <c r="M322" s="8" t="inlineStr">
        <is>
          <t>LIMIT</t>
        </is>
      </c>
    </row>
    <row r="323">
      <c r="A323" s="11" t="inlineStr">
        <is>
          <t>2026-06-29</t>
        </is>
      </c>
      <c r="B323" s="11" t="inlineStr">
        <is>
          <t>SILJ</t>
        </is>
      </c>
      <c r="C323" s="11" t="inlineStr">
        <is>
          <t>AMPLIFY JUNIOR SILVER MINERS</t>
        </is>
      </c>
      <c r="D323" s="11" t="inlineStr">
        <is>
          <t>STK</t>
        </is>
      </c>
      <c r="E323" s="11" t="inlineStr">
        <is>
          <t>USD</t>
        </is>
      </c>
      <c r="F323" s="11" t="inlineStr">
        <is>
          <t>BUY</t>
        </is>
      </c>
      <c r="G323" s="11" t="n">
        <v>2</v>
      </c>
      <c r="H323" s="12" t="n">
        <v>25.798</v>
      </c>
      <c r="I323" s="13" t="n">
        <v>0.350663</v>
      </c>
      <c r="J323" s="13" t="n">
        <v>51.596</v>
      </c>
      <c r="K323" s="13" t="n">
        <v>0</v>
      </c>
      <c r="L323" s="11" t="inlineStr">
        <is>
          <t>DARK</t>
        </is>
      </c>
      <c r="M323" s="11" t="inlineStr">
        <is>
          <t>LIMIT</t>
        </is>
      </c>
    </row>
    <row r="324">
      <c r="A324" s="8" t="inlineStr">
        <is>
          <t>2026-06-29</t>
        </is>
      </c>
      <c r="B324" s="8" t="inlineStr">
        <is>
          <t>USD</t>
        </is>
      </c>
      <c r="C324" s="8" t="inlineStr">
        <is>
          <t>United States dollar</t>
        </is>
      </c>
      <c r="D324" s="8" t="inlineStr">
        <is>
          <t>CASH</t>
        </is>
      </c>
      <c r="E324" s="8" t="inlineStr">
        <is>
          <t>AED</t>
        </is>
      </c>
      <c r="F324" s="8" t="inlineStr">
        <is>
          <t>BUY</t>
        </is>
      </c>
      <c r="G324" s="8" t="n">
        <v>104</v>
      </c>
      <c r="H324" s="9" t="n">
        <v>3.67481</v>
      </c>
      <c r="I324" s="10" t="n">
        <v>0</v>
      </c>
      <c r="J324" s="10" t="n">
        <v>382.18024</v>
      </c>
      <c r="K324" s="10" t="n">
        <v>0</v>
      </c>
      <c r="L324" s="8" t="inlineStr">
        <is>
          <t>FXCONV</t>
        </is>
      </c>
      <c r="M324" s="8" t="inlineStr">
        <is>
          <t>MARKET</t>
        </is>
      </c>
    </row>
    <row r="325">
      <c r="A325" s="11" t="inlineStr">
        <is>
          <t>2026-06-29</t>
        </is>
      </c>
      <c r="B325" s="11" t="inlineStr">
        <is>
          <t>SILJ</t>
        </is>
      </c>
      <c r="C325" s="11" t="inlineStr">
        <is>
          <t>AMPLIFY JUNIOR SILVER MINERS</t>
        </is>
      </c>
      <c r="D325" s="11" t="inlineStr">
        <is>
          <t>STK</t>
        </is>
      </c>
      <c r="E325" s="11" t="inlineStr">
        <is>
          <t>USD</t>
        </is>
      </c>
      <c r="F325" s="11" t="inlineStr">
        <is>
          <t>BUY</t>
        </is>
      </c>
      <c r="G325" s="11" t="n">
        <v>2</v>
      </c>
      <c r="H325" s="12" t="n">
        <v>25.7975</v>
      </c>
      <c r="I325" s="13" t="n">
        <v>0.000406</v>
      </c>
      <c r="J325" s="13" t="n">
        <v>51.595</v>
      </c>
      <c r="K325" s="13" t="n">
        <v>0</v>
      </c>
      <c r="L325" s="11" t="inlineStr">
        <is>
          <t>DARK</t>
        </is>
      </c>
      <c r="M325" s="11" t="inlineStr">
        <is>
          <t>LIMIT</t>
        </is>
      </c>
    </row>
    <row r="326">
      <c r="A326" s="8" t="inlineStr">
        <is>
          <t>2026-06-29</t>
        </is>
      </c>
      <c r="B326" s="8" t="inlineStr">
        <is>
          <t>USD</t>
        </is>
      </c>
      <c r="C326" s="8" t="inlineStr">
        <is>
          <t>United States dollar</t>
        </is>
      </c>
      <c r="D326" s="8" t="inlineStr">
        <is>
          <t>CASH</t>
        </is>
      </c>
      <c r="E326" s="8" t="inlineStr">
        <is>
          <t>AED</t>
        </is>
      </c>
      <c r="F326" s="8" t="inlineStr">
        <is>
          <t>BUY</t>
        </is>
      </c>
      <c r="G326" s="8" t="n">
        <v>594</v>
      </c>
      <c r="H326" s="9" t="n">
        <v>3.67481</v>
      </c>
      <c r="I326" s="10" t="n">
        <v>0</v>
      </c>
      <c r="J326" s="10" t="n">
        <v>2182.83714</v>
      </c>
      <c r="K326" s="10" t="n">
        <v>0</v>
      </c>
      <c r="L326" s="8" t="inlineStr">
        <is>
          <t>FXCONV</t>
        </is>
      </c>
      <c r="M326" s="8" t="inlineStr">
        <is>
          <t>MARKET</t>
        </is>
      </c>
    </row>
    <row r="327">
      <c r="A327" s="11" t="inlineStr">
        <is>
          <t>2026-06-29</t>
        </is>
      </c>
      <c r="B327" s="11" t="inlineStr">
        <is>
          <t>STM</t>
        </is>
      </c>
      <c r="C327" s="11" t="inlineStr">
        <is>
          <t>STMICROELECTRONICS NV-NY SHS</t>
        </is>
      </c>
      <c r="D327" s="11" t="inlineStr">
        <is>
          <t>STK</t>
        </is>
      </c>
      <c r="E327" s="11" t="inlineStr">
        <is>
          <t>USD</t>
        </is>
      </c>
      <c r="F327" s="11" t="inlineStr">
        <is>
          <t>BUY</t>
        </is>
      </c>
      <c r="G327" s="11" t="n">
        <v>8</v>
      </c>
      <c r="H327" s="12" t="n">
        <v>74.18000000000001</v>
      </c>
      <c r="I327" s="13" t="n">
        <v>0.326281</v>
      </c>
      <c r="J327" s="13" t="n">
        <v>593.4400000000001</v>
      </c>
      <c r="K327" s="13" t="n">
        <v>0</v>
      </c>
      <c r="L327" s="11" t="inlineStr">
        <is>
          <t>NYSE</t>
        </is>
      </c>
      <c r="M327" s="11" t="inlineStr">
        <is>
          <t>LIMIT</t>
        </is>
      </c>
    </row>
    <row r="328">
      <c r="A328" s="8" t="inlineStr">
        <is>
          <t>2026-07-01</t>
        </is>
      </c>
      <c r="B328" s="8" t="inlineStr">
        <is>
          <t>RDDT</t>
        </is>
      </c>
      <c r="C328" s="8" t="inlineStr">
        <is>
          <t>REDDIT INC-CL A</t>
        </is>
      </c>
      <c r="D328" s="8" t="inlineStr">
        <is>
          <t>STK</t>
        </is>
      </c>
      <c r="E328" s="8" t="inlineStr">
        <is>
          <t>USD</t>
        </is>
      </c>
      <c r="F328" s="8" t="inlineStr">
        <is>
          <t>BUY</t>
        </is>
      </c>
      <c r="G328" s="8" t="n">
        <v>3</v>
      </c>
      <c r="H328" s="9" t="n">
        <v>197.52</v>
      </c>
      <c r="I328" s="10" t="n">
        <v>0.350866</v>
      </c>
      <c r="J328" s="10" t="n">
        <v>592.5599999999999</v>
      </c>
      <c r="K328" s="10" t="n">
        <v>0</v>
      </c>
      <c r="L328" s="8" t="inlineStr">
        <is>
          <t>IBKRATS</t>
        </is>
      </c>
      <c r="M328" s="8" t="inlineStr">
        <is>
          <t>LIMIT</t>
        </is>
      </c>
    </row>
    <row r="329">
      <c r="A329" s="11" t="inlineStr">
        <is>
          <t>2026-07-01</t>
        </is>
      </c>
      <c r="B329" s="11" t="inlineStr">
        <is>
          <t>USD</t>
        </is>
      </c>
      <c r="C329" s="11" t="inlineStr">
        <is>
          <t>United States dollar</t>
        </is>
      </c>
      <c r="D329" s="11" t="inlineStr">
        <is>
          <t>CASH</t>
        </is>
      </c>
      <c r="E329" s="11" t="inlineStr">
        <is>
          <t>AED</t>
        </is>
      </c>
      <c r="F329" s="11" t="inlineStr">
        <is>
          <t>BUY</t>
        </is>
      </c>
      <c r="G329" s="11" t="n">
        <v>593</v>
      </c>
      <c r="H329" s="12" t="n">
        <v>3.6747</v>
      </c>
      <c r="I329" s="13" t="n">
        <v>0</v>
      </c>
      <c r="J329" s="13" t="n">
        <v>2179.0971</v>
      </c>
      <c r="K329" s="13" t="n">
        <v>0</v>
      </c>
      <c r="L329" s="11" t="inlineStr">
        <is>
          <t>FXCONV</t>
        </is>
      </c>
      <c r="M329" s="11" t="inlineStr">
        <is>
          <t>MARKET</t>
        </is>
      </c>
    </row>
    <row r="330">
      <c r="A330" s="8" t="inlineStr">
        <is>
          <t>2026-07-02</t>
        </is>
      </c>
      <c r="B330" s="8" t="inlineStr">
        <is>
          <t>NVTS</t>
        </is>
      </c>
      <c r="C330" s="8" t="inlineStr">
        <is>
          <t>NAVITAS SEMICONDUCTOR CORP</t>
        </is>
      </c>
      <c r="D330" s="8" t="inlineStr">
        <is>
          <t>STK</t>
        </is>
      </c>
      <c r="E330" s="8" t="inlineStr">
        <is>
          <t>USD</t>
        </is>
      </c>
      <c r="F330" s="8" t="inlineStr">
        <is>
          <t>SELL</t>
        </is>
      </c>
      <c r="G330" s="8" t="n">
        <v>15</v>
      </c>
      <c r="H330" s="9" t="n">
        <v>14.1</v>
      </c>
      <c r="I330" s="10" t="n">
        <v>0.341084</v>
      </c>
      <c r="J330" s="10" t="n">
        <v>211.5</v>
      </c>
      <c r="K330" s="10" t="n">
        <v>-161.783884</v>
      </c>
      <c r="L330" s="8" t="inlineStr">
        <is>
          <t>ISLAND</t>
        </is>
      </c>
      <c r="M330" s="8" t="inlineStr">
        <is>
          <t>LIMIT</t>
        </is>
      </c>
    </row>
    <row r="331">
      <c r="A331" s="11" t="inlineStr">
        <is>
          <t>2026-07-02</t>
        </is>
      </c>
      <c r="B331" s="11" t="inlineStr">
        <is>
          <t>WOLF</t>
        </is>
      </c>
      <c r="C331" s="11" t="inlineStr">
        <is>
          <t>WOLFSPEED INC</t>
        </is>
      </c>
      <c r="D331" s="11" t="inlineStr">
        <is>
          <t>STK</t>
        </is>
      </c>
      <c r="E331" s="11" t="inlineStr">
        <is>
          <t>USD</t>
        </is>
      </c>
      <c r="F331" s="11" t="inlineStr">
        <is>
          <t>SELL</t>
        </is>
      </c>
      <c r="G331" s="11" t="n">
        <v>5</v>
      </c>
      <c r="H331" s="12" t="n">
        <v>40.03</v>
      </c>
      <c r="I331" s="13" t="n">
        <v>-0.009887</v>
      </c>
      <c r="J331" s="13" t="n">
        <v>200.15</v>
      </c>
      <c r="K331" s="13" t="n">
        <v>-100.153457</v>
      </c>
      <c r="L331" s="11" t="inlineStr">
        <is>
          <t>NYSE</t>
        </is>
      </c>
      <c r="M331" s="11" t="inlineStr">
        <is>
          <t>LIMIT</t>
        </is>
      </c>
    </row>
    <row r="332">
      <c r="A332" s="8" t="inlineStr">
        <is>
          <t>2026-07-02</t>
        </is>
      </c>
      <c r="B332" s="8" t="inlineStr">
        <is>
          <t>WOLF</t>
        </is>
      </c>
      <c r="C332" s="8" t="inlineStr">
        <is>
          <t>WOLFSPEED INC</t>
        </is>
      </c>
      <c r="D332" s="8" t="inlineStr">
        <is>
          <t>STK</t>
        </is>
      </c>
      <c r="E332" s="8" t="inlineStr">
        <is>
          <t>USD</t>
        </is>
      </c>
      <c r="F332" s="8" t="inlineStr">
        <is>
          <t>SELL</t>
        </is>
      </c>
      <c r="G332" s="8" t="n">
        <v>1</v>
      </c>
      <c r="H332" s="9" t="n">
        <v>40.03</v>
      </c>
      <c r="I332" s="10" t="n">
        <v>0.34828</v>
      </c>
      <c r="J332" s="10" t="n">
        <v>40.03</v>
      </c>
      <c r="K332" s="10" t="n">
        <v>-20.380949</v>
      </c>
      <c r="L332" s="8" t="inlineStr">
        <is>
          <t>NYSE</t>
        </is>
      </c>
      <c r="M332" s="8" t="inlineStr">
        <is>
          <t>LIMIT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2"/>
  <sheetViews>
    <sheetView showGridLines="0"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0" customHeight="1">
      <c r="A1" s="7" t="inlineStr">
        <is>
          <t>Date</t>
        </is>
      </c>
      <c r="B1" s="7" t="inlineStr">
        <is>
          <t>CGNX</t>
        </is>
      </c>
      <c r="C1" s="7" t="inlineStr">
        <is>
          <t>COPX</t>
        </is>
      </c>
      <c r="D1" s="7" t="inlineStr">
        <is>
          <t>DRAM</t>
        </is>
      </c>
      <c r="E1" s="7" t="inlineStr">
        <is>
          <t>DTC</t>
        </is>
      </c>
      <c r="F1" s="7" t="inlineStr">
        <is>
          <t>EMAAR</t>
        </is>
      </c>
      <c r="G1" s="7" t="inlineStr">
        <is>
          <t>EMIRATESN</t>
        </is>
      </c>
      <c r="H1" s="7" t="inlineStr">
        <is>
          <t>FPS</t>
        </is>
      </c>
      <c r="I1" s="7" t="inlineStr">
        <is>
          <t>GDXJ</t>
        </is>
      </c>
      <c r="J1" s="7" t="inlineStr">
        <is>
          <t>HOOD</t>
        </is>
      </c>
      <c r="K1" s="7" t="inlineStr">
        <is>
          <t>ONDS</t>
        </is>
      </c>
      <c r="L1" s="7" t="inlineStr">
        <is>
          <t>RBRK</t>
        </is>
      </c>
      <c r="M1" s="7" t="inlineStr">
        <is>
          <t>RDDT</t>
        </is>
      </c>
      <c r="N1" s="7" t="inlineStr">
        <is>
          <t>SALIK</t>
        </is>
      </c>
      <c r="O1" s="7" t="inlineStr">
        <is>
          <t>SILJ</t>
        </is>
      </c>
      <c r="P1" s="7" t="inlineStr">
        <is>
          <t>STM</t>
        </is>
      </c>
      <c r="Q1" s="7" t="inlineStr">
        <is>
          <t>URNM</t>
        </is>
      </c>
      <c r="R1" s="7" t="inlineStr">
        <is>
          <t>VSH</t>
        </is>
      </c>
      <c r="S1" s="7" t="inlineStr">
        <is>
          <t>WOLF</t>
        </is>
      </c>
      <c r="T1" s="7" t="inlineStr">
        <is>
          <t>USD_AED</t>
        </is>
      </c>
    </row>
    <row r="2">
      <c r="A2" s="14" t="inlineStr">
        <is>
          <t>2025-07-07</t>
        </is>
      </c>
      <c r="B2" s="9" t="n">
        <v>31.85</v>
      </c>
      <c r="C2" s="9" t="n">
        <v>45.33</v>
      </c>
      <c r="D2" s="9" t="n">
        <v>27.76</v>
      </c>
      <c r="E2" s="9" t="n">
        <v>2.68</v>
      </c>
      <c r="F2" s="9" t="n">
        <v>13.9</v>
      </c>
      <c r="G2" s="9" t="n">
        <v>27.8</v>
      </c>
      <c r="H2" s="9" t="n">
        <v>29</v>
      </c>
      <c r="I2" s="9" t="n">
        <v>69.02</v>
      </c>
      <c r="J2" s="9" t="n">
        <v>93.45999999999999</v>
      </c>
      <c r="K2" s="9" t="n">
        <v>1.75</v>
      </c>
      <c r="L2" s="9" t="n">
        <v>89.84999999999999</v>
      </c>
      <c r="M2" s="9" t="n">
        <v>153.37</v>
      </c>
      <c r="N2" s="9" t="n">
        <v>6.38</v>
      </c>
      <c r="O2" s="9" t="n">
        <v>15.39</v>
      </c>
      <c r="P2" s="9" t="n">
        <v>31.56</v>
      </c>
      <c r="Q2" s="9" t="n">
        <v>46.73</v>
      </c>
      <c r="R2" s="9" t="n">
        <v>16.64</v>
      </c>
      <c r="S2" s="9" t="n">
        <v>21.62</v>
      </c>
      <c r="T2" s="9" t="n">
        <v>3.673</v>
      </c>
    </row>
    <row r="3">
      <c r="A3" s="15" t="inlineStr">
        <is>
          <t>2025-07-08</t>
        </is>
      </c>
      <c r="B3" s="12" t="n">
        <v>33.13</v>
      </c>
      <c r="C3" s="12" t="n">
        <v>45.65</v>
      </c>
      <c r="D3" s="12" t="n">
        <v>27.76</v>
      </c>
      <c r="E3" s="12" t="n">
        <v>2.68</v>
      </c>
      <c r="F3" s="12" t="n">
        <v>13.9</v>
      </c>
      <c r="G3" s="12" t="n">
        <v>27.8</v>
      </c>
      <c r="H3" s="12" t="n">
        <v>29</v>
      </c>
      <c r="I3" s="12" t="n">
        <v>66.39</v>
      </c>
      <c r="J3" s="12" t="n">
        <v>91.27</v>
      </c>
      <c r="K3" s="12" t="n">
        <v>1.79</v>
      </c>
      <c r="L3" s="12" t="n">
        <v>86.87</v>
      </c>
      <c r="M3" s="12" t="n">
        <v>145.96</v>
      </c>
      <c r="N3" s="12" t="n">
        <v>6.38</v>
      </c>
      <c r="O3" s="12" t="n">
        <v>14.57</v>
      </c>
      <c r="P3" s="12" t="n">
        <v>32.52</v>
      </c>
      <c r="Q3" s="12" t="n">
        <v>45.22</v>
      </c>
      <c r="R3" s="12" t="n">
        <v>17.35</v>
      </c>
      <c r="S3" s="12" t="n">
        <v>21.62</v>
      </c>
      <c r="T3" s="12" t="n">
        <v>3.673175</v>
      </c>
    </row>
    <row r="4">
      <c r="A4" s="14" t="inlineStr">
        <is>
          <t>2025-07-09</t>
        </is>
      </c>
      <c r="B4" s="9" t="n">
        <v>33.32</v>
      </c>
      <c r="C4" s="9" t="n">
        <v>44.91</v>
      </c>
      <c r="D4" s="9" t="n">
        <v>27.76</v>
      </c>
      <c r="E4" s="9" t="n">
        <v>2.68</v>
      </c>
      <c r="F4" s="9" t="n">
        <v>13.9</v>
      </c>
      <c r="G4" s="9" t="n">
        <v>27.8</v>
      </c>
      <c r="H4" s="9" t="n">
        <v>29</v>
      </c>
      <c r="I4" s="9" t="n">
        <v>67.22</v>
      </c>
      <c r="J4" s="9" t="n">
        <v>94.54000000000001</v>
      </c>
      <c r="K4" s="9" t="n">
        <v>1.84</v>
      </c>
      <c r="L4" s="9" t="n">
        <v>91.59</v>
      </c>
      <c r="M4" s="9" t="n">
        <v>145.65</v>
      </c>
      <c r="N4" s="9" t="n">
        <v>6.38</v>
      </c>
      <c r="O4" s="9" t="n">
        <v>14.83</v>
      </c>
      <c r="P4" s="9" t="n">
        <v>31.97</v>
      </c>
      <c r="Q4" s="9" t="n">
        <v>44.44</v>
      </c>
      <c r="R4" s="9" t="n">
        <v>17.61</v>
      </c>
      <c r="S4" s="9" t="n">
        <v>21.62</v>
      </c>
      <c r="T4" s="9" t="n">
        <v>3.673175</v>
      </c>
    </row>
    <row r="5">
      <c r="A5" s="15" t="inlineStr">
        <is>
          <t>2025-07-10</t>
        </is>
      </c>
      <c r="B5" s="12" t="n">
        <v>34.74</v>
      </c>
      <c r="C5" s="12" t="n">
        <v>45.48</v>
      </c>
      <c r="D5" s="12" t="n">
        <v>27.76</v>
      </c>
      <c r="E5" s="12" t="n">
        <v>2.68</v>
      </c>
      <c r="F5" s="12" t="n">
        <v>13.9</v>
      </c>
      <c r="G5" s="12" t="n">
        <v>27.8</v>
      </c>
      <c r="H5" s="12" t="n">
        <v>29</v>
      </c>
      <c r="I5" s="12" t="n">
        <v>67.52</v>
      </c>
      <c r="J5" s="12" t="n">
        <v>98.7</v>
      </c>
      <c r="K5" s="12" t="n">
        <v>2.01</v>
      </c>
      <c r="L5" s="12" t="n">
        <v>86.14</v>
      </c>
      <c r="M5" s="12" t="n">
        <v>143</v>
      </c>
      <c r="N5" s="12" t="n">
        <v>6.38</v>
      </c>
      <c r="O5" s="12" t="n">
        <v>15.15</v>
      </c>
      <c r="P5" s="12" t="n">
        <v>33.14</v>
      </c>
      <c r="Q5" s="12" t="n">
        <v>45</v>
      </c>
      <c r="R5" s="12" t="n">
        <v>17.88</v>
      </c>
      <c r="S5" s="12" t="n">
        <v>21.62</v>
      </c>
      <c r="T5" s="12" t="n">
        <v>3.673075</v>
      </c>
    </row>
    <row r="6">
      <c r="A6" s="14" t="inlineStr">
        <is>
          <t>2025-07-11</t>
        </is>
      </c>
      <c r="B6" s="9" t="n">
        <v>34.34</v>
      </c>
      <c r="C6" s="9" t="n">
        <v>45.16</v>
      </c>
      <c r="D6" s="9" t="n">
        <v>27.76</v>
      </c>
      <c r="E6" s="9" t="n">
        <v>2.68</v>
      </c>
      <c r="F6" s="9" t="n">
        <v>13.9</v>
      </c>
      <c r="G6" s="9" t="n">
        <v>27.8</v>
      </c>
      <c r="H6" s="9" t="n">
        <v>29</v>
      </c>
      <c r="I6" s="9" t="n">
        <v>68.84</v>
      </c>
      <c r="J6" s="9" t="n">
        <v>98.34</v>
      </c>
      <c r="K6" s="9" t="n">
        <v>2.12</v>
      </c>
      <c r="L6" s="9" t="n">
        <v>84.54000000000001</v>
      </c>
      <c r="M6" s="9" t="n">
        <v>145.59</v>
      </c>
      <c r="N6" s="9" t="n">
        <v>6.38</v>
      </c>
      <c r="O6" s="9" t="n">
        <v>15.81</v>
      </c>
      <c r="P6" s="9" t="n">
        <v>32.27</v>
      </c>
      <c r="Q6" s="9" t="n">
        <v>45.67</v>
      </c>
      <c r="R6" s="9" t="n">
        <v>17.85</v>
      </c>
      <c r="S6" s="9" t="n">
        <v>21.62</v>
      </c>
      <c r="T6" s="9" t="n">
        <v>3.673075</v>
      </c>
    </row>
    <row r="7">
      <c r="A7" s="15" t="inlineStr">
        <is>
          <t>2025-07-14</t>
        </is>
      </c>
      <c r="B7" s="12" t="n">
        <v>33.78</v>
      </c>
      <c r="C7" s="12" t="n">
        <v>44.92</v>
      </c>
      <c r="D7" s="12" t="n">
        <v>27.76</v>
      </c>
      <c r="E7" s="12" t="n">
        <v>2.68</v>
      </c>
      <c r="F7" s="12" t="n">
        <v>13.9</v>
      </c>
      <c r="G7" s="12" t="n">
        <v>27.8</v>
      </c>
      <c r="H7" s="12" t="n">
        <v>29</v>
      </c>
      <c r="I7" s="12" t="n">
        <v>68.58</v>
      </c>
      <c r="J7" s="12" t="n">
        <v>99.95999999999999</v>
      </c>
      <c r="K7" s="12" t="n">
        <v>2.31</v>
      </c>
      <c r="L7" s="12" t="n">
        <v>85.84</v>
      </c>
      <c r="M7" s="12" t="n">
        <v>146.38</v>
      </c>
      <c r="N7" s="12" t="n">
        <v>6.38</v>
      </c>
      <c r="O7" s="12" t="n">
        <v>15.65</v>
      </c>
      <c r="P7" s="12" t="n">
        <v>31.79</v>
      </c>
      <c r="Q7" s="12" t="n">
        <v>46.95</v>
      </c>
      <c r="R7" s="12" t="n">
        <v>17.47</v>
      </c>
      <c r="S7" s="12" t="n">
        <v>21.62</v>
      </c>
      <c r="T7" s="12" t="n">
        <v>3.673025</v>
      </c>
    </row>
    <row r="8">
      <c r="A8" s="14" t="inlineStr">
        <is>
          <t>2025-07-15</t>
        </is>
      </c>
      <c r="B8" s="9" t="n">
        <v>33.22</v>
      </c>
      <c r="C8" s="9" t="n">
        <v>44.34</v>
      </c>
      <c r="D8" s="9" t="n">
        <v>27.76</v>
      </c>
      <c r="E8" s="9" t="n">
        <v>2.68</v>
      </c>
      <c r="F8" s="9" t="n">
        <v>13.9</v>
      </c>
      <c r="G8" s="9" t="n">
        <v>27.8</v>
      </c>
      <c r="H8" s="9" t="n">
        <v>29</v>
      </c>
      <c r="I8" s="9" t="n">
        <v>67.63</v>
      </c>
      <c r="J8" s="9" t="n">
        <v>99.54000000000001</v>
      </c>
      <c r="K8" s="9" t="n">
        <v>2.29</v>
      </c>
      <c r="L8" s="9" t="n">
        <v>87.34</v>
      </c>
      <c r="M8" s="9" t="n">
        <v>144.8</v>
      </c>
      <c r="N8" s="9" t="n">
        <v>6.38</v>
      </c>
      <c r="O8" s="9" t="n">
        <v>15.43</v>
      </c>
      <c r="P8" s="9" t="n">
        <v>31.52</v>
      </c>
      <c r="Q8" s="9" t="n">
        <v>47.54</v>
      </c>
      <c r="R8" s="9" t="n">
        <v>16.99</v>
      </c>
      <c r="S8" s="9" t="n">
        <v>21.62</v>
      </c>
      <c r="T8" s="9" t="n">
        <v>3.672975</v>
      </c>
    </row>
    <row r="9">
      <c r="A9" s="15" t="inlineStr">
        <is>
          <t>2025-07-16</t>
        </is>
      </c>
      <c r="B9" s="12" t="n">
        <v>33.32</v>
      </c>
      <c r="C9" s="12" t="n">
        <v>44.3</v>
      </c>
      <c r="D9" s="12" t="n">
        <v>27.76</v>
      </c>
      <c r="E9" s="12" t="n">
        <v>2.68</v>
      </c>
      <c r="F9" s="12" t="n">
        <v>13.9</v>
      </c>
      <c r="G9" s="12" t="n">
        <v>27.8</v>
      </c>
      <c r="H9" s="12" t="n">
        <v>29</v>
      </c>
      <c r="I9" s="12" t="n">
        <v>67.48999999999999</v>
      </c>
      <c r="J9" s="12" t="n">
        <v>103.25</v>
      </c>
      <c r="K9" s="12" t="n">
        <v>2.4</v>
      </c>
      <c r="L9" s="12" t="n">
        <v>87.48999999999999</v>
      </c>
      <c r="M9" s="12" t="n">
        <v>144.31</v>
      </c>
      <c r="N9" s="12" t="n">
        <v>6.38</v>
      </c>
      <c r="O9" s="12" t="n">
        <v>15.23</v>
      </c>
      <c r="P9" s="12" t="n">
        <v>31.87</v>
      </c>
      <c r="Q9" s="12" t="n">
        <v>48.56</v>
      </c>
      <c r="R9" s="12" t="n">
        <v>17.01</v>
      </c>
      <c r="S9" s="12" t="n">
        <v>21.62</v>
      </c>
      <c r="T9" s="12" t="n">
        <v>3.67305</v>
      </c>
    </row>
    <row r="10">
      <c r="A10" s="14" t="inlineStr">
        <is>
          <t>2025-07-17</t>
        </is>
      </c>
      <c r="B10" s="9" t="n">
        <v>33.81</v>
      </c>
      <c r="C10" s="9" t="n">
        <v>44.02</v>
      </c>
      <c r="D10" s="9" t="n">
        <v>27.76</v>
      </c>
      <c r="E10" s="9" t="n">
        <v>2.68</v>
      </c>
      <c r="F10" s="9" t="n">
        <v>13.9</v>
      </c>
      <c r="G10" s="9" t="n">
        <v>27.8</v>
      </c>
      <c r="H10" s="9" t="n">
        <v>29</v>
      </c>
      <c r="I10" s="9" t="n">
        <v>66.76000000000001</v>
      </c>
      <c r="J10" s="9" t="n">
        <v>105.45</v>
      </c>
      <c r="K10" s="9" t="n">
        <v>2.4</v>
      </c>
      <c r="L10" s="9" t="n">
        <v>86.93000000000001</v>
      </c>
      <c r="M10" s="9" t="n">
        <v>142.52</v>
      </c>
      <c r="N10" s="9" t="n">
        <v>6.38</v>
      </c>
      <c r="O10" s="9" t="n">
        <v>15.15</v>
      </c>
      <c r="P10" s="9" t="n">
        <v>32.11</v>
      </c>
      <c r="Q10" s="9" t="n">
        <v>49.14</v>
      </c>
      <c r="R10" s="9" t="n">
        <v>17.28</v>
      </c>
      <c r="S10" s="9" t="n">
        <v>21.62</v>
      </c>
      <c r="T10" s="9" t="n">
        <v>3.675525</v>
      </c>
    </row>
    <row r="11">
      <c r="A11" s="15" t="inlineStr">
        <is>
          <t>2025-07-18</t>
        </is>
      </c>
      <c r="B11" s="12" t="n">
        <v>34.07</v>
      </c>
      <c r="C11" s="12" t="n">
        <v>43.87</v>
      </c>
      <c r="D11" s="12" t="n">
        <v>27.76</v>
      </c>
      <c r="E11" s="12" t="n">
        <v>2.68</v>
      </c>
      <c r="F11" s="12" t="n">
        <v>13.9</v>
      </c>
      <c r="G11" s="12" t="n">
        <v>27.8</v>
      </c>
      <c r="H11" s="12" t="n">
        <v>29</v>
      </c>
      <c r="I11" s="12" t="n">
        <v>66.19</v>
      </c>
      <c r="J11" s="12" t="n">
        <v>109.74</v>
      </c>
      <c r="K11" s="12" t="n">
        <v>2.23</v>
      </c>
      <c r="L11" s="12" t="n">
        <v>88.11</v>
      </c>
      <c r="M11" s="12" t="n">
        <v>148.24</v>
      </c>
      <c r="N11" s="12" t="n">
        <v>6.38</v>
      </c>
      <c r="O11" s="12" t="n">
        <v>14.95</v>
      </c>
      <c r="P11" s="12" t="n">
        <v>32.55</v>
      </c>
      <c r="Q11" s="12" t="n">
        <v>49.18</v>
      </c>
      <c r="R11" s="12" t="n">
        <v>17.24</v>
      </c>
      <c r="S11" s="12" t="n">
        <v>21.62</v>
      </c>
      <c r="T11" s="12" t="n">
        <v>3.675525</v>
      </c>
    </row>
    <row r="12">
      <c r="A12" s="14" t="inlineStr">
        <is>
          <t>2025-07-21</t>
        </is>
      </c>
      <c r="B12" s="9" t="n">
        <v>33.73</v>
      </c>
      <c r="C12" s="9" t="n">
        <v>44.88</v>
      </c>
      <c r="D12" s="9" t="n">
        <v>27.76</v>
      </c>
      <c r="E12" s="9" t="n">
        <v>2.68</v>
      </c>
      <c r="F12" s="9" t="n">
        <v>13.9</v>
      </c>
      <c r="G12" s="9" t="n">
        <v>27.8</v>
      </c>
      <c r="H12" s="9" t="n">
        <v>29</v>
      </c>
      <c r="I12" s="9" t="n">
        <v>68.59</v>
      </c>
      <c r="J12" s="9" t="n">
        <v>104.34</v>
      </c>
      <c r="K12" s="9" t="n">
        <v>2.25</v>
      </c>
      <c r="L12" s="9" t="n">
        <v>86.53</v>
      </c>
      <c r="M12" s="9" t="n">
        <v>146.29</v>
      </c>
      <c r="N12" s="9" t="n">
        <v>6.38</v>
      </c>
      <c r="O12" s="9" t="n">
        <v>15.47</v>
      </c>
      <c r="P12" s="9" t="n">
        <v>32.81</v>
      </c>
      <c r="Q12" s="9" t="n">
        <v>49.01</v>
      </c>
      <c r="R12" s="9" t="n">
        <v>17.45</v>
      </c>
      <c r="S12" s="9" t="n">
        <v>21.62</v>
      </c>
      <c r="T12" s="9" t="n">
        <v>3.673</v>
      </c>
    </row>
    <row r="13">
      <c r="A13" s="15" t="inlineStr">
        <is>
          <t>2025-07-22</t>
        </is>
      </c>
      <c r="B13" s="12" t="n">
        <v>34.26</v>
      </c>
      <c r="C13" s="12" t="n">
        <v>46.1</v>
      </c>
      <c r="D13" s="12" t="n">
        <v>27.76</v>
      </c>
      <c r="E13" s="12" t="n">
        <v>2.68</v>
      </c>
      <c r="F13" s="12" t="n">
        <v>13.9</v>
      </c>
      <c r="G13" s="12" t="n">
        <v>27.8</v>
      </c>
      <c r="H13" s="12" t="n">
        <v>29</v>
      </c>
      <c r="I13" s="12" t="n">
        <v>70.28</v>
      </c>
      <c r="J13" s="12" t="n">
        <v>101.85</v>
      </c>
      <c r="K13" s="12" t="n">
        <v>2.1</v>
      </c>
      <c r="L13" s="12" t="n">
        <v>83.77</v>
      </c>
      <c r="M13" s="12" t="n">
        <v>145.8</v>
      </c>
      <c r="N13" s="12" t="n">
        <v>6.38</v>
      </c>
      <c r="O13" s="12" t="n">
        <v>15.89</v>
      </c>
      <c r="P13" s="12" t="n">
        <v>33.41</v>
      </c>
      <c r="Q13" s="12" t="n">
        <v>49.57</v>
      </c>
      <c r="R13" s="12" t="n">
        <v>17.52</v>
      </c>
      <c r="S13" s="12" t="n">
        <v>21.62</v>
      </c>
      <c r="T13" s="12" t="n">
        <v>3.673025</v>
      </c>
    </row>
    <row r="14">
      <c r="A14" s="14" t="inlineStr">
        <is>
          <t>2025-07-23</t>
        </is>
      </c>
      <c r="B14" s="9" t="n">
        <v>34.61</v>
      </c>
      <c r="C14" s="9" t="n">
        <v>46.5</v>
      </c>
      <c r="D14" s="9" t="n">
        <v>27.76</v>
      </c>
      <c r="E14" s="9" t="n">
        <v>2.68</v>
      </c>
      <c r="F14" s="9" t="n">
        <v>13.9</v>
      </c>
      <c r="G14" s="9" t="n">
        <v>27.8</v>
      </c>
      <c r="H14" s="9" t="n">
        <v>29</v>
      </c>
      <c r="I14" s="9" t="n">
        <v>69.06999999999999</v>
      </c>
      <c r="J14" s="9" t="n">
        <v>102.08</v>
      </c>
      <c r="K14" s="9" t="n">
        <v>2.18</v>
      </c>
      <c r="L14" s="9" t="n">
        <v>84.84</v>
      </c>
      <c r="M14" s="9" t="n">
        <v>146.1</v>
      </c>
      <c r="N14" s="9" t="n">
        <v>6.38</v>
      </c>
      <c r="O14" s="9" t="n">
        <v>15.83</v>
      </c>
      <c r="P14" s="9" t="n">
        <v>31.77</v>
      </c>
      <c r="Q14" s="9" t="n">
        <v>49.94</v>
      </c>
      <c r="R14" s="9" t="n">
        <v>17.62</v>
      </c>
      <c r="S14" s="9" t="n">
        <v>21.62</v>
      </c>
      <c r="T14" s="9" t="n">
        <v>3.67305</v>
      </c>
    </row>
    <row r="15">
      <c r="A15" s="15" t="inlineStr">
        <is>
          <t>2025-07-24</t>
        </is>
      </c>
      <c r="B15" s="12" t="n">
        <v>34.17</v>
      </c>
      <c r="C15" s="12" t="n">
        <v>45.71</v>
      </c>
      <c r="D15" s="12" t="n">
        <v>27.76</v>
      </c>
      <c r="E15" s="12" t="n">
        <v>2.68</v>
      </c>
      <c r="F15" s="12" t="n">
        <v>13.9</v>
      </c>
      <c r="G15" s="12" t="n">
        <v>27.8</v>
      </c>
      <c r="H15" s="12" t="n">
        <v>29</v>
      </c>
      <c r="I15" s="12" t="n">
        <v>68.20999999999999</v>
      </c>
      <c r="J15" s="12" t="n">
        <v>101.93</v>
      </c>
      <c r="K15" s="12" t="n">
        <v>2.14</v>
      </c>
      <c r="L15" s="12" t="n">
        <v>85.70999999999999</v>
      </c>
      <c r="M15" s="12" t="n">
        <v>148.13</v>
      </c>
      <c r="N15" s="12" t="n">
        <v>6.38</v>
      </c>
      <c r="O15" s="12" t="n">
        <v>15.65</v>
      </c>
      <c r="P15" s="12" t="n">
        <v>26.73</v>
      </c>
      <c r="Q15" s="12" t="n">
        <v>50.68</v>
      </c>
      <c r="R15" s="12" t="n">
        <v>16.93</v>
      </c>
      <c r="S15" s="12" t="n">
        <v>21.62</v>
      </c>
      <c r="T15" s="12" t="n">
        <v>3.6731</v>
      </c>
    </row>
    <row r="16">
      <c r="A16" s="14" t="inlineStr">
        <is>
          <t>2025-07-25</t>
        </is>
      </c>
      <c r="B16" s="9" t="n">
        <v>34.08</v>
      </c>
      <c r="C16" s="9" t="n">
        <v>45.22</v>
      </c>
      <c r="D16" s="9" t="n">
        <v>27.76</v>
      </c>
      <c r="E16" s="9" t="n">
        <v>2.68</v>
      </c>
      <c r="F16" s="9" t="n">
        <v>13.9</v>
      </c>
      <c r="G16" s="9" t="n">
        <v>27.8</v>
      </c>
      <c r="H16" s="9" t="n">
        <v>29</v>
      </c>
      <c r="I16" s="9" t="n">
        <v>67.81999999999999</v>
      </c>
      <c r="J16" s="9" t="n">
        <v>104.85</v>
      </c>
      <c r="K16" s="9" t="n">
        <v>2.13</v>
      </c>
      <c r="L16" s="9" t="n">
        <v>85</v>
      </c>
      <c r="M16" s="9" t="n">
        <v>149.66</v>
      </c>
      <c r="N16" s="9" t="n">
        <v>6.38</v>
      </c>
      <c r="O16" s="9" t="n">
        <v>15.49</v>
      </c>
      <c r="P16" s="9" t="n">
        <v>26.32</v>
      </c>
      <c r="Q16" s="9" t="n">
        <v>50.09</v>
      </c>
      <c r="R16" s="9" t="n">
        <v>17</v>
      </c>
      <c r="S16" s="9" t="n">
        <v>21.62</v>
      </c>
      <c r="T16" s="9" t="n">
        <v>3.6731</v>
      </c>
    </row>
    <row r="17">
      <c r="A17" s="15" t="inlineStr">
        <is>
          <t>2025-07-28</t>
        </is>
      </c>
      <c r="B17" s="12" t="n">
        <v>34.63</v>
      </c>
      <c r="C17" s="12" t="n">
        <v>44.66</v>
      </c>
      <c r="D17" s="12" t="n">
        <v>27.76</v>
      </c>
      <c r="E17" s="12" t="n">
        <v>2.68</v>
      </c>
      <c r="F17" s="12" t="n">
        <v>13.9</v>
      </c>
      <c r="G17" s="12" t="n">
        <v>27.8</v>
      </c>
      <c r="H17" s="12" t="n">
        <v>29</v>
      </c>
      <c r="I17" s="12" t="n">
        <v>66.12</v>
      </c>
      <c r="J17" s="12" t="n">
        <v>106.77</v>
      </c>
      <c r="K17" s="12" t="n">
        <v>2</v>
      </c>
      <c r="L17" s="12" t="n">
        <v>87.11</v>
      </c>
      <c r="M17" s="12" t="n">
        <v>151.6</v>
      </c>
      <c r="N17" s="12" t="n">
        <v>6.38</v>
      </c>
      <c r="O17" s="12" t="n">
        <v>15.14</v>
      </c>
      <c r="P17" s="12" t="n">
        <v>26.69</v>
      </c>
      <c r="Q17" s="12" t="n">
        <v>48.23</v>
      </c>
      <c r="R17" s="12" t="n">
        <v>17.06</v>
      </c>
      <c r="S17" s="12" t="n">
        <v>21.62</v>
      </c>
      <c r="T17" s="12" t="n">
        <v>3.673075</v>
      </c>
    </row>
    <row r="18">
      <c r="A18" s="14" t="inlineStr">
        <is>
          <t>2025-07-29</t>
        </is>
      </c>
      <c r="B18" s="9" t="n">
        <v>34.26</v>
      </c>
      <c r="C18" s="9" t="n">
        <v>44.19</v>
      </c>
      <c r="D18" s="9" t="n">
        <v>27.76</v>
      </c>
      <c r="E18" s="9" t="n">
        <v>2.68</v>
      </c>
      <c r="F18" s="9" t="n">
        <v>13.9</v>
      </c>
      <c r="G18" s="9" t="n">
        <v>27.8</v>
      </c>
      <c r="H18" s="9" t="n">
        <v>29</v>
      </c>
      <c r="I18" s="9" t="n">
        <v>66.54000000000001</v>
      </c>
      <c r="J18" s="9" t="n">
        <v>103.32</v>
      </c>
      <c r="K18" s="9" t="n">
        <v>1.82</v>
      </c>
      <c r="L18" s="9" t="n">
        <v>89.22</v>
      </c>
      <c r="M18" s="9" t="n">
        <v>144.85</v>
      </c>
      <c r="N18" s="9" t="n">
        <v>6.38</v>
      </c>
      <c r="O18" s="9" t="n">
        <v>15.19</v>
      </c>
      <c r="P18" s="9" t="n">
        <v>26.54</v>
      </c>
      <c r="Q18" s="9" t="n">
        <v>46.88</v>
      </c>
      <c r="R18" s="9" t="n">
        <v>17.22</v>
      </c>
      <c r="S18" s="9" t="n">
        <v>21.62</v>
      </c>
      <c r="T18" s="9" t="n">
        <v>3.673025</v>
      </c>
    </row>
    <row r="19">
      <c r="A19" s="15" t="inlineStr">
        <is>
          <t>2025-07-30</t>
        </is>
      </c>
      <c r="B19" s="12" t="n">
        <v>33.76</v>
      </c>
      <c r="C19" s="12" t="n">
        <v>42.91</v>
      </c>
      <c r="D19" s="12" t="n">
        <v>27.76</v>
      </c>
      <c r="E19" s="12" t="n">
        <v>2.68</v>
      </c>
      <c r="F19" s="12" t="n">
        <v>13.9</v>
      </c>
      <c r="G19" s="12" t="n">
        <v>27.8</v>
      </c>
      <c r="H19" s="12" t="n">
        <v>29</v>
      </c>
      <c r="I19" s="12" t="n">
        <v>64.73999999999999</v>
      </c>
      <c r="J19" s="12" t="n">
        <v>106.1</v>
      </c>
      <c r="K19" s="12" t="n">
        <v>2.07</v>
      </c>
      <c r="L19" s="12" t="n">
        <v>95.42</v>
      </c>
      <c r="M19" s="12" t="n">
        <v>149.33</v>
      </c>
      <c r="N19" s="12" t="n">
        <v>6.38</v>
      </c>
      <c r="O19" s="12" t="n">
        <v>14.68</v>
      </c>
      <c r="P19" s="12" t="n">
        <v>26.03</v>
      </c>
      <c r="Q19" s="12" t="n">
        <v>46.4</v>
      </c>
      <c r="R19" s="12" t="n">
        <v>16.88</v>
      </c>
      <c r="S19" s="12" t="n">
        <v>21.62</v>
      </c>
      <c r="T19" s="12" t="n">
        <v>3.67285</v>
      </c>
    </row>
    <row r="20">
      <c r="A20" s="14" t="inlineStr">
        <is>
          <t>2025-07-31</t>
        </is>
      </c>
      <c r="B20" s="9" t="n">
        <v>40.77</v>
      </c>
      <c r="C20" s="9" t="n">
        <v>43.05</v>
      </c>
      <c r="D20" s="9" t="n">
        <v>27.76</v>
      </c>
      <c r="E20" s="9" t="n">
        <v>2.68</v>
      </c>
      <c r="F20" s="9" t="n">
        <v>13.9</v>
      </c>
      <c r="G20" s="9" t="n">
        <v>27.8</v>
      </c>
      <c r="H20" s="9" t="n">
        <v>29</v>
      </c>
      <c r="I20" s="9" t="n">
        <v>64.22</v>
      </c>
      <c r="J20" s="9" t="n">
        <v>103.05</v>
      </c>
      <c r="K20" s="9" t="n">
        <v>2.12</v>
      </c>
      <c r="L20" s="9" t="n">
        <v>94.95</v>
      </c>
      <c r="M20" s="9" t="n">
        <v>160.59</v>
      </c>
      <c r="N20" s="9" t="n">
        <v>6.38</v>
      </c>
      <c r="O20" s="9" t="n">
        <v>14.52</v>
      </c>
      <c r="P20" s="9" t="n">
        <v>25.43</v>
      </c>
      <c r="Q20" s="9" t="n">
        <v>45.17</v>
      </c>
      <c r="R20" s="9" t="n">
        <v>16.39</v>
      </c>
      <c r="S20" s="9" t="n">
        <v>21.62</v>
      </c>
      <c r="T20" s="9" t="n">
        <v>3.6752</v>
      </c>
    </row>
    <row r="21">
      <c r="A21" s="15" t="inlineStr">
        <is>
          <t>2025-08-01</t>
        </is>
      </c>
      <c r="B21" s="12" t="n">
        <v>40.47</v>
      </c>
      <c r="C21" s="12" t="n">
        <v>42.75</v>
      </c>
      <c r="D21" s="12" t="n">
        <v>27.76</v>
      </c>
      <c r="E21" s="12" t="n">
        <v>2.68</v>
      </c>
      <c r="F21" s="12" t="n">
        <v>13.9</v>
      </c>
      <c r="G21" s="12" t="n">
        <v>27.8</v>
      </c>
      <c r="H21" s="12" t="n">
        <v>29</v>
      </c>
      <c r="I21" s="12" t="n">
        <v>65.03</v>
      </c>
      <c r="J21" s="12" t="n">
        <v>99.90000000000001</v>
      </c>
      <c r="K21" s="12" t="n">
        <v>2.2</v>
      </c>
      <c r="L21" s="12" t="n">
        <v>87.65000000000001</v>
      </c>
      <c r="M21" s="12" t="n">
        <v>188.64</v>
      </c>
      <c r="N21" s="12" t="n">
        <v>6.38</v>
      </c>
      <c r="O21" s="12" t="n">
        <v>14.54</v>
      </c>
      <c r="P21" s="12" t="n">
        <v>25.06</v>
      </c>
      <c r="Q21" s="12" t="n">
        <v>44.8</v>
      </c>
      <c r="R21" s="12" t="n">
        <v>15.98</v>
      </c>
      <c r="S21" s="12" t="n">
        <v>21.62</v>
      </c>
      <c r="T21" s="12" t="n">
        <v>3.6752</v>
      </c>
    </row>
    <row r="22">
      <c r="A22" s="14" t="inlineStr">
        <is>
          <t>2025-08-04</t>
        </is>
      </c>
      <c r="B22" s="9" t="n">
        <v>41.43</v>
      </c>
      <c r="C22" s="9" t="n">
        <v>43.45</v>
      </c>
      <c r="D22" s="9" t="n">
        <v>27.76</v>
      </c>
      <c r="E22" s="9" t="n">
        <v>2.68</v>
      </c>
      <c r="F22" s="9" t="n">
        <v>13.9</v>
      </c>
      <c r="G22" s="9" t="n">
        <v>27.8</v>
      </c>
      <c r="H22" s="9" t="n">
        <v>29</v>
      </c>
      <c r="I22" s="9" t="n">
        <v>67.59</v>
      </c>
      <c r="J22" s="9" t="n">
        <v>106.37</v>
      </c>
      <c r="K22" s="9" t="n">
        <v>2.67</v>
      </c>
      <c r="L22" s="9" t="n">
        <v>92.52</v>
      </c>
      <c r="M22" s="9" t="n">
        <v>201.76</v>
      </c>
      <c r="N22" s="9" t="n">
        <v>6.38</v>
      </c>
      <c r="O22" s="9" t="n">
        <v>15.09</v>
      </c>
      <c r="P22" s="9" t="n">
        <v>25.12</v>
      </c>
      <c r="Q22" s="9" t="n">
        <v>46.41</v>
      </c>
      <c r="R22" s="9" t="n">
        <v>16.18</v>
      </c>
      <c r="S22" s="9" t="n">
        <v>21.62</v>
      </c>
      <c r="T22" s="9" t="n">
        <v>3.67285</v>
      </c>
    </row>
    <row r="23">
      <c r="A23" s="15" t="inlineStr">
        <is>
          <t>2025-08-05</t>
        </is>
      </c>
      <c r="B23" s="12" t="n">
        <v>41.86</v>
      </c>
      <c r="C23" s="12" t="n">
        <v>43.88</v>
      </c>
      <c r="D23" s="12" t="n">
        <v>27.76</v>
      </c>
      <c r="E23" s="12" t="n">
        <v>2.68</v>
      </c>
      <c r="F23" s="12" t="n">
        <v>13.9</v>
      </c>
      <c r="G23" s="12" t="n">
        <v>27.8</v>
      </c>
      <c r="H23" s="12" t="n">
        <v>29</v>
      </c>
      <c r="I23" s="12" t="n">
        <v>69.58</v>
      </c>
      <c r="J23" s="12" t="n">
        <v>105.46</v>
      </c>
      <c r="K23" s="12" t="n">
        <v>3.07</v>
      </c>
      <c r="L23" s="12" t="n">
        <v>87.54000000000001</v>
      </c>
      <c r="M23" s="12" t="n">
        <v>199.09</v>
      </c>
      <c r="N23" s="12" t="n">
        <v>6.38</v>
      </c>
      <c r="O23" s="12" t="n">
        <v>15.54</v>
      </c>
      <c r="P23" s="12" t="n">
        <v>24.94</v>
      </c>
      <c r="Q23" s="12" t="n">
        <v>47.23</v>
      </c>
      <c r="R23" s="12" t="n">
        <v>16.01</v>
      </c>
      <c r="S23" s="12" t="n">
        <v>21.62</v>
      </c>
      <c r="T23" s="12" t="n">
        <v>3.67285</v>
      </c>
    </row>
    <row r="24">
      <c r="A24" s="14" t="inlineStr">
        <is>
          <t>2025-08-06</t>
        </is>
      </c>
      <c r="B24" s="9" t="n">
        <v>40.89</v>
      </c>
      <c r="C24" s="9" t="n">
        <v>44.27</v>
      </c>
      <c r="D24" s="9" t="n">
        <v>27.76</v>
      </c>
      <c r="E24" s="9" t="n">
        <v>2.68</v>
      </c>
      <c r="F24" s="9" t="n">
        <v>13.9</v>
      </c>
      <c r="G24" s="9" t="n">
        <v>27.8</v>
      </c>
      <c r="H24" s="9" t="n">
        <v>29</v>
      </c>
      <c r="I24" s="9" t="n">
        <v>71.23999999999999</v>
      </c>
      <c r="J24" s="9" t="n">
        <v>105.65</v>
      </c>
      <c r="K24" s="9" t="n">
        <v>3.33</v>
      </c>
      <c r="L24" s="9" t="n">
        <v>91.77</v>
      </c>
      <c r="M24" s="9" t="n">
        <v>212.81</v>
      </c>
      <c r="N24" s="9" t="n">
        <v>6.38</v>
      </c>
      <c r="O24" s="9" t="n">
        <v>15.8</v>
      </c>
      <c r="P24" s="9" t="n">
        <v>24.81</v>
      </c>
      <c r="Q24" s="9" t="n">
        <v>47.62</v>
      </c>
      <c r="R24" s="9" t="n">
        <v>13.76</v>
      </c>
      <c r="S24" s="9" t="n">
        <v>21.62</v>
      </c>
      <c r="T24" s="9" t="n">
        <v>3.67315</v>
      </c>
    </row>
    <row r="25">
      <c r="A25" s="15" t="inlineStr">
        <is>
          <t>2025-08-07</t>
        </is>
      </c>
      <c r="B25" s="12" t="n">
        <v>41.36</v>
      </c>
      <c r="C25" s="12" t="n">
        <v>45.15</v>
      </c>
      <c r="D25" s="12" t="n">
        <v>27.76</v>
      </c>
      <c r="E25" s="12" t="n">
        <v>2.68</v>
      </c>
      <c r="F25" s="12" t="n">
        <v>13.9</v>
      </c>
      <c r="G25" s="12" t="n">
        <v>27.8</v>
      </c>
      <c r="H25" s="12" t="n">
        <v>29</v>
      </c>
      <c r="I25" s="12" t="n">
        <v>72.37</v>
      </c>
      <c r="J25" s="12" t="n">
        <v>111.23</v>
      </c>
      <c r="K25" s="12" t="n">
        <v>3.25</v>
      </c>
      <c r="L25" s="12" t="n">
        <v>89.73999999999999</v>
      </c>
      <c r="M25" s="12" t="n">
        <v>211.82</v>
      </c>
      <c r="N25" s="12" t="n">
        <v>6.38</v>
      </c>
      <c r="O25" s="12" t="n">
        <v>16.58</v>
      </c>
      <c r="P25" s="12" t="n">
        <v>24.83</v>
      </c>
      <c r="Q25" s="12" t="n">
        <v>47.27</v>
      </c>
      <c r="R25" s="12" t="n">
        <v>14.3</v>
      </c>
      <c r="S25" s="12" t="n">
        <v>21.62</v>
      </c>
      <c r="T25" s="12" t="n">
        <v>3.674425</v>
      </c>
    </row>
    <row r="26">
      <c r="A26" s="14" t="inlineStr">
        <is>
          <t>2025-08-08</t>
        </is>
      </c>
      <c r="B26" s="9" t="n">
        <v>40.91</v>
      </c>
      <c r="C26" s="9" t="n">
        <v>46.24</v>
      </c>
      <c r="D26" s="9" t="n">
        <v>27.76</v>
      </c>
      <c r="E26" s="9" t="n">
        <v>2.68</v>
      </c>
      <c r="F26" s="9" t="n">
        <v>13.9</v>
      </c>
      <c r="G26" s="9" t="n">
        <v>27.8</v>
      </c>
      <c r="H26" s="9" t="n">
        <v>29</v>
      </c>
      <c r="I26" s="9" t="n">
        <v>72.23</v>
      </c>
      <c r="J26" s="9" t="n">
        <v>114.63</v>
      </c>
      <c r="K26" s="9" t="n">
        <v>3.55</v>
      </c>
      <c r="L26" s="9" t="n">
        <v>87.41</v>
      </c>
      <c r="M26" s="9" t="n">
        <v>215.44</v>
      </c>
      <c r="N26" s="9" t="n">
        <v>6.38</v>
      </c>
      <c r="O26" s="9" t="n">
        <v>16.74</v>
      </c>
      <c r="P26" s="9" t="n">
        <v>25.17</v>
      </c>
      <c r="Q26" s="9" t="n">
        <v>47.17</v>
      </c>
      <c r="R26" s="9" t="n">
        <v>14.59</v>
      </c>
      <c r="S26" s="9" t="n">
        <v>21.62</v>
      </c>
      <c r="T26" s="9" t="n">
        <v>3.674425</v>
      </c>
    </row>
    <row r="27">
      <c r="A27" s="15" t="inlineStr">
        <is>
          <t>2025-08-11</t>
        </is>
      </c>
      <c r="B27" s="12" t="n">
        <v>40.47</v>
      </c>
      <c r="C27" s="12" t="n">
        <v>45.5</v>
      </c>
      <c r="D27" s="12" t="n">
        <v>27.76</v>
      </c>
      <c r="E27" s="12" t="n">
        <v>2.68</v>
      </c>
      <c r="F27" s="12" t="n">
        <v>13.9</v>
      </c>
      <c r="G27" s="12" t="n">
        <v>27.8</v>
      </c>
      <c r="H27" s="12" t="n">
        <v>29</v>
      </c>
      <c r="I27" s="12" t="n">
        <v>71.89</v>
      </c>
      <c r="J27" s="12" t="n">
        <v>113.62</v>
      </c>
      <c r="K27" s="12" t="n">
        <v>3.43</v>
      </c>
      <c r="L27" s="12" t="n">
        <v>85.7</v>
      </c>
      <c r="M27" s="12" t="n">
        <v>220.75</v>
      </c>
      <c r="N27" s="12" t="n">
        <v>6.38</v>
      </c>
      <c r="O27" s="12" t="n">
        <v>16.76</v>
      </c>
      <c r="P27" s="12" t="n">
        <v>24.77</v>
      </c>
      <c r="Q27" s="12" t="n">
        <v>47.11</v>
      </c>
      <c r="R27" s="12" t="n">
        <v>13.97</v>
      </c>
      <c r="S27" s="12" t="n">
        <v>21.62</v>
      </c>
      <c r="T27" s="12" t="n">
        <v>3.67295</v>
      </c>
    </row>
    <row r="28">
      <c r="A28" s="14" t="inlineStr">
        <is>
          <t>2025-08-12</t>
        </is>
      </c>
      <c r="B28" s="9" t="n">
        <v>42.2</v>
      </c>
      <c r="C28" s="9" t="n">
        <v>46.49</v>
      </c>
      <c r="D28" s="9" t="n">
        <v>27.76</v>
      </c>
      <c r="E28" s="9" t="n">
        <v>2.68</v>
      </c>
      <c r="F28" s="9" t="n">
        <v>13.9</v>
      </c>
      <c r="G28" s="9" t="n">
        <v>27.8</v>
      </c>
      <c r="H28" s="9" t="n">
        <v>29</v>
      </c>
      <c r="I28" s="9" t="n">
        <v>72.93000000000001</v>
      </c>
      <c r="J28" s="9" t="n">
        <v>114.09</v>
      </c>
      <c r="K28" s="9" t="n">
        <v>4.29</v>
      </c>
      <c r="L28" s="9" t="n">
        <v>88.34999999999999</v>
      </c>
      <c r="M28" s="9" t="n">
        <v>224.02</v>
      </c>
      <c r="N28" s="9" t="n">
        <v>6.38</v>
      </c>
      <c r="O28" s="9" t="n">
        <v>17.04</v>
      </c>
      <c r="P28" s="9" t="n">
        <v>26.25</v>
      </c>
      <c r="Q28" s="9" t="n">
        <v>47.57</v>
      </c>
      <c r="R28" s="9" t="n">
        <v>14.77</v>
      </c>
      <c r="S28" s="9" t="n">
        <v>21.62</v>
      </c>
      <c r="T28" s="9" t="n">
        <v>3.673125</v>
      </c>
    </row>
    <row r="29">
      <c r="A29" s="15" t="inlineStr">
        <is>
          <t>2025-08-13</t>
        </is>
      </c>
      <c r="B29" s="12" t="n">
        <v>44.18</v>
      </c>
      <c r="C29" s="12" t="n">
        <v>47.26</v>
      </c>
      <c r="D29" s="12" t="n">
        <v>27.76</v>
      </c>
      <c r="E29" s="12" t="n">
        <v>2.68</v>
      </c>
      <c r="F29" s="12" t="n">
        <v>13.9</v>
      </c>
      <c r="G29" s="12" t="n">
        <v>27.8</v>
      </c>
      <c r="H29" s="12" t="n">
        <v>29</v>
      </c>
      <c r="I29" s="12" t="n">
        <v>73.04000000000001</v>
      </c>
      <c r="J29" s="12" t="n">
        <v>108.62</v>
      </c>
      <c r="K29" s="12" t="n">
        <v>3.52</v>
      </c>
      <c r="L29" s="12" t="n">
        <v>88.08</v>
      </c>
      <c r="M29" s="12" t="n">
        <v>234.77</v>
      </c>
      <c r="N29" s="12" t="n">
        <v>6.38</v>
      </c>
      <c r="O29" s="12" t="n">
        <v>17.05</v>
      </c>
      <c r="P29" s="12" t="n">
        <v>26.15</v>
      </c>
      <c r="Q29" s="12" t="n">
        <v>46.72</v>
      </c>
      <c r="R29" s="12" t="n">
        <v>15.46</v>
      </c>
      <c r="S29" s="12" t="n">
        <v>21.62</v>
      </c>
      <c r="T29" s="12" t="n">
        <v>3.67355</v>
      </c>
    </row>
    <row r="30">
      <c r="A30" s="14" t="inlineStr">
        <is>
          <t>2025-08-14</t>
        </is>
      </c>
      <c r="B30" s="9" t="n">
        <v>43.52</v>
      </c>
      <c r="C30" s="9" t="n">
        <v>46.5</v>
      </c>
      <c r="D30" s="9" t="n">
        <v>27.76</v>
      </c>
      <c r="E30" s="9" t="n">
        <v>2.68</v>
      </c>
      <c r="F30" s="9" t="n">
        <v>13.9</v>
      </c>
      <c r="G30" s="9" t="n">
        <v>27.8</v>
      </c>
      <c r="H30" s="9" t="n">
        <v>29</v>
      </c>
      <c r="I30" s="9" t="n">
        <v>72.77</v>
      </c>
      <c r="J30" s="9" t="n">
        <v>110.71</v>
      </c>
      <c r="K30" s="9" t="n">
        <v>3.93</v>
      </c>
      <c r="L30" s="9" t="n">
        <v>84.45</v>
      </c>
      <c r="M30" s="9" t="n">
        <v>243.47</v>
      </c>
      <c r="N30" s="9" t="n">
        <v>6.38</v>
      </c>
      <c r="O30" s="9" t="n">
        <v>16.82</v>
      </c>
      <c r="P30" s="9" t="n">
        <v>25.87</v>
      </c>
      <c r="Q30" s="9" t="n">
        <v>46.99</v>
      </c>
      <c r="R30" s="9" t="n">
        <v>15.32</v>
      </c>
      <c r="S30" s="9" t="n">
        <v>21.62</v>
      </c>
      <c r="T30" s="9" t="n">
        <v>3.675475</v>
      </c>
    </row>
    <row r="31">
      <c r="A31" s="15" t="inlineStr">
        <is>
          <t>2025-08-15</t>
        </is>
      </c>
      <c r="B31" s="12" t="n">
        <v>42.7</v>
      </c>
      <c r="C31" s="12" t="n">
        <v>47.15</v>
      </c>
      <c r="D31" s="12" t="n">
        <v>27.76</v>
      </c>
      <c r="E31" s="12" t="n">
        <v>2.68</v>
      </c>
      <c r="F31" s="12" t="n">
        <v>13.9</v>
      </c>
      <c r="G31" s="12" t="n">
        <v>27.8</v>
      </c>
      <c r="H31" s="12" t="n">
        <v>29</v>
      </c>
      <c r="I31" s="12" t="n">
        <v>73.88</v>
      </c>
      <c r="J31" s="12" t="n">
        <v>114.17</v>
      </c>
      <c r="K31" s="12" t="n">
        <v>3.86</v>
      </c>
      <c r="L31" s="12" t="n">
        <v>85.83</v>
      </c>
      <c r="M31" s="12" t="n">
        <v>246.5</v>
      </c>
      <c r="N31" s="12" t="n">
        <v>6.38</v>
      </c>
      <c r="O31" s="12" t="n">
        <v>16.89</v>
      </c>
      <c r="P31" s="12" t="n">
        <v>25.65</v>
      </c>
      <c r="Q31" s="12" t="n">
        <v>47.3</v>
      </c>
      <c r="R31" s="12" t="n">
        <v>14.84</v>
      </c>
      <c r="S31" s="12" t="n">
        <v>21.62</v>
      </c>
      <c r="T31" s="12" t="n">
        <v>3.675475</v>
      </c>
    </row>
    <row r="32">
      <c r="A32" s="14" t="inlineStr">
        <is>
          <t>2025-08-18</t>
        </is>
      </c>
      <c r="B32" s="9" t="n">
        <v>43.01</v>
      </c>
      <c r="C32" s="9" t="n">
        <v>46.67</v>
      </c>
      <c r="D32" s="9" t="n">
        <v>27.76</v>
      </c>
      <c r="E32" s="9" t="n">
        <v>2.68</v>
      </c>
      <c r="F32" s="9" t="n">
        <v>13.9</v>
      </c>
      <c r="G32" s="9" t="n">
        <v>27.8</v>
      </c>
      <c r="H32" s="9" t="n">
        <v>29</v>
      </c>
      <c r="I32" s="9" t="n">
        <v>73.7</v>
      </c>
      <c r="J32" s="9" t="n">
        <v>115.02</v>
      </c>
      <c r="K32" s="9" t="n">
        <v>4.01</v>
      </c>
      <c r="L32" s="9" t="n">
        <v>85.72</v>
      </c>
      <c r="M32" s="9" t="n">
        <v>241.76</v>
      </c>
      <c r="N32" s="9" t="n">
        <v>6.38</v>
      </c>
      <c r="O32" s="9" t="n">
        <v>16.86</v>
      </c>
      <c r="P32" s="9" t="n">
        <v>25.96</v>
      </c>
      <c r="Q32" s="9" t="n">
        <v>48.12</v>
      </c>
      <c r="R32" s="9" t="n">
        <v>14.76</v>
      </c>
      <c r="S32" s="9" t="n">
        <v>21.62</v>
      </c>
      <c r="T32" s="9" t="n">
        <v>3.672875</v>
      </c>
    </row>
    <row r="33">
      <c r="A33" s="15" t="inlineStr">
        <is>
          <t>2025-08-19</t>
        </is>
      </c>
      <c r="B33" s="12" t="n">
        <v>43.4</v>
      </c>
      <c r="C33" s="12" t="n">
        <v>46.08</v>
      </c>
      <c r="D33" s="12" t="n">
        <v>27.76</v>
      </c>
      <c r="E33" s="12" t="n">
        <v>2.68</v>
      </c>
      <c r="F33" s="12" t="n">
        <v>13.9</v>
      </c>
      <c r="G33" s="12" t="n">
        <v>27.8</v>
      </c>
      <c r="H33" s="12" t="n">
        <v>29</v>
      </c>
      <c r="I33" s="12" t="n">
        <v>71.22</v>
      </c>
      <c r="J33" s="12" t="n">
        <v>107.5</v>
      </c>
      <c r="K33" s="12" t="n">
        <v>3.59</v>
      </c>
      <c r="L33" s="12" t="n">
        <v>83.97</v>
      </c>
      <c r="M33" s="12" t="n">
        <v>228.18</v>
      </c>
      <c r="N33" s="12" t="n">
        <v>6.38</v>
      </c>
      <c r="O33" s="12" t="n">
        <v>16.26</v>
      </c>
      <c r="P33" s="12" t="n">
        <v>25.87</v>
      </c>
      <c r="Q33" s="12" t="n">
        <v>45.17</v>
      </c>
      <c r="R33" s="12" t="n">
        <v>14.79</v>
      </c>
      <c r="S33" s="12" t="n">
        <v>21.62</v>
      </c>
      <c r="T33" s="12" t="n">
        <v>3.67315</v>
      </c>
    </row>
    <row r="34">
      <c r="A34" s="14" t="inlineStr">
        <is>
          <t>2025-08-20</t>
        </is>
      </c>
      <c r="B34" s="9" t="n">
        <v>42.71</v>
      </c>
      <c r="C34" s="9" t="n">
        <v>46.27</v>
      </c>
      <c r="D34" s="9" t="n">
        <v>27.76</v>
      </c>
      <c r="E34" s="9" t="n">
        <v>2.68</v>
      </c>
      <c r="F34" s="9" t="n">
        <v>13.9</v>
      </c>
      <c r="G34" s="9" t="n">
        <v>27.8</v>
      </c>
      <c r="H34" s="9" t="n">
        <v>29</v>
      </c>
      <c r="I34" s="9" t="n">
        <v>73.28</v>
      </c>
      <c r="J34" s="9" t="n">
        <v>105.34</v>
      </c>
      <c r="K34" s="9" t="n">
        <v>3.61</v>
      </c>
      <c r="L34" s="9" t="n">
        <v>85.09999999999999</v>
      </c>
      <c r="M34" s="9" t="n">
        <v>218.37</v>
      </c>
      <c r="N34" s="9" t="n">
        <v>6.38</v>
      </c>
      <c r="O34" s="9" t="n">
        <v>16.5</v>
      </c>
      <c r="P34" s="9" t="n">
        <v>26</v>
      </c>
      <c r="Q34" s="9" t="n">
        <v>44.14</v>
      </c>
      <c r="R34" s="9" t="n">
        <v>14.77</v>
      </c>
      <c r="S34" s="9" t="n">
        <v>21.62</v>
      </c>
      <c r="T34" s="9" t="n">
        <v>3.672975</v>
      </c>
    </row>
    <row r="35">
      <c r="A35" s="15" t="inlineStr">
        <is>
          <t>2025-08-21</t>
        </is>
      </c>
      <c r="B35" s="12" t="n">
        <v>42.74</v>
      </c>
      <c r="C35" s="12" t="n">
        <v>46.63</v>
      </c>
      <c r="D35" s="12" t="n">
        <v>27.76</v>
      </c>
      <c r="E35" s="12" t="n">
        <v>2.68</v>
      </c>
      <c r="F35" s="12" t="n">
        <v>13.9</v>
      </c>
      <c r="G35" s="12" t="n">
        <v>27.8</v>
      </c>
      <c r="H35" s="12" t="n">
        <v>29</v>
      </c>
      <c r="I35" s="12" t="n">
        <v>74.77</v>
      </c>
      <c r="J35" s="12" t="n">
        <v>106.3</v>
      </c>
      <c r="K35" s="12" t="n">
        <v>3.8</v>
      </c>
      <c r="L35" s="12" t="n">
        <v>85.23999999999999</v>
      </c>
      <c r="M35" s="12" t="n">
        <v>218.65</v>
      </c>
      <c r="N35" s="12" t="n">
        <v>6.38</v>
      </c>
      <c r="O35" s="12" t="n">
        <v>16.81</v>
      </c>
      <c r="P35" s="12" t="n">
        <v>25.88</v>
      </c>
      <c r="Q35" s="12" t="n">
        <v>45.1</v>
      </c>
      <c r="R35" s="12" t="n">
        <v>14.54</v>
      </c>
      <c r="S35" s="12" t="n">
        <v>21.62</v>
      </c>
      <c r="T35" s="12" t="n">
        <v>3.673375</v>
      </c>
    </row>
    <row r="36">
      <c r="A36" s="14" t="inlineStr">
        <is>
          <t>2025-08-22</t>
        </is>
      </c>
      <c r="B36" s="9" t="n">
        <v>44.76</v>
      </c>
      <c r="C36" s="9" t="n">
        <v>48.21</v>
      </c>
      <c r="D36" s="9" t="n">
        <v>27.76</v>
      </c>
      <c r="E36" s="9" t="n">
        <v>2.68</v>
      </c>
      <c r="F36" s="9" t="n">
        <v>13.9</v>
      </c>
      <c r="G36" s="9" t="n">
        <v>27.8</v>
      </c>
      <c r="H36" s="9" t="n">
        <v>29</v>
      </c>
      <c r="I36" s="9" t="n">
        <v>76.27</v>
      </c>
      <c r="J36" s="9" t="n">
        <v>109.32</v>
      </c>
      <c r="K36" s="9" t="n">
        <v>4.49</v>
      </c>
      <c r="L36" s="9" t="n">
        <v>88.77</v>
      </c>
      <c r="M36" s="9" t="n">
        <v>217.31</v>
      </c>
      <c r="N36" s="9" t="n">
        <v>6.38</v>
      </c>
      <c r="O36" s="9" t="n">
        <v>17.23</v>
      </c>
      <c r="P36" s="9" t="n">
        <v>27.52</v>
      </c>
      <c r="Q36" s="9" t="n">
        <v>48.26</v>
      </c>
      <c r="R36" s="9" t="n">
        <v>15.58</v>
      </c>
      <c r="S36" s="9" t="n">
        <v>21.62</v>
      </c>
      <c r="T36" s="9" t="n">
        <v>3.673375</v>
      </c>
    </row>
    <row r="37">
      <c r="A37" s="15" t="inlineStr">
        <is>
          <t>2025-08-25</t>
        </is>
      </c>
      <c r="B37" s="12" t="n">
        <v>44.02</v>
      </c>
      <c r="C37" s="12" t="n">
        <v>48.22</v>
      </c>
      <c r="D37" s="12" t="n">
        <v>27.76</v>
      </c>
      <c r="E37" s="12" t="n">
        <v>2.68</v>
      </c>
      <c r="F37" s="12" t="n">
        <v>13.9</v>
      </c>
      <c r="G37" s="12" t="n">
        <v>27.8</v>
      </c>
      <c r="H37" s="12" t="n">
        <v>29</v>
      </c>
      <c r="I37" s="12" t="n">
        <v>76</v>
      </c>
      <c r="J37" s="12" t="n">
        <v>107.94</v>
      </c>
      <c r="K37" s="12" t="n">
        <v>4.85</v>
      </c>
      <c r="L37" s="12" t="n">
        <v>87.83</v>
      </c>
      <c r="M37" s="12" t="n">
        <v>219.73</v>
      </c>
      <c r="N37" s="12" t="n">
        <v>6.38</v>
      </c>
      <c r="O37" s="12" t="n">
        <v>17.18</v>
      </c>
      <c r="P37" s="12" t="n">
        <v>27.31</v>
      </c>
      <c r="Q37" s="12" t="n">
        <v>48.52</v>
      </c>
      <c r="R37" s="12" t="n">
        <v>15.3</v>
      </c>
      <c r="S37" s="12" t="n">
        <v>21.62</v>
      </c>
      <c r="T37" s="12" t="n">
        <v>3.67315</v>
      </c>
    </row>
    <row r="38">
      <c r="A38" s="14" t="inlineStr">
        <is>
          <t>2025-08-26</t>
        </is>
      </c>
      <c r="B38" s="9" t="n">
        <v>43.89</v>
      </c>
      <c r="C38" s="9" t="n">
        <v>48.83</v>
      </c>
      <c r="D38" s="9" t="n">
        <v>27.76</v>
      </c>
      <c r="E38" s="9" t="n">
        <v>2.68</v>
      </c>
      <c r="F38" s="9" t="n">
        <v>13.9</v>
      </c>
      <c r="G38" s="9" t="n">
        <v>27.8</v>
      </c>
      <c r="H38" s="9" t="n">
        <v>29</v>
      </c>
      <c r="I38" s="9" t="n">
        <v>77.54000000000001</v>
      </c>
      <c r="J38" s="9" t="n">
        <v>108.8</v>
      </c>
      <c r="K38" s="9" t="n">
        <v>4.97</v>
      </c>
      <c r="L38" s="9" t="n">
        <v>85.17</v>
      </c>
      <c r="M38" s="9" t="n">
        <v>219.43</v>
      </c>
      <c r="N38" s="9" t="n">
        <v>6.38</v>
      </c>
      <c r="O38" s="9" t="n">
        <v>17.47</v>
      </c>
      <c r="P38" s="9" t="n">
        <v>27.12</v>
      </c>
      <c r="Q38" s="9" t="n">
        <v>50.56</v>
      </c>
      <c r="R38" s="9" t="n">
        <v>15.43</v>
      </c>
      <c r="S38" s="9" t="n">
        <v>21.62</v>
      </c>
      <c r="T38" s="9" t="n">
        <v>3.67285</v>
      </c>
    </row>
    <row r="39">
      <c r="A39" s="15" t="inlineStr">
        <is>
          <t>2025-08-27</t>
        </is>
      </c>
      <c r="B39" s="12" t="n">
        <v>44.25</v>
      </c>
      <c r="C39" s="12" t="n">
        <v>48.48</v>
      </c>
      <c r="D39" s="12" t="n">
        <v>27.76</v>
      </c>
      <c r="E39" s="12" t="n">
        <v>2.68</v>
      </c>
      <c r="F39" s="12" t="n">
        <v>13.9</v>
      </c>
      <c r="G39" s="12" t="n">
        <v>27.8</v>
      </c>
      <c r="H39" s="12" t="n">
        <v>29</v>
      </c>
      <c r="I39" s="12" t="n">
        <v>77.54000000000001</v>
      </c>
      <c r="J39" s="12" t="n">
        <v>102.92</v>
      </c>
      <c r="K39" s="12" t="n">
        <v>5.07</v>
      </c>
      <c r="L39" s="12" t="n">
        <v>87.53</v>
      </c>
      <c r="M39" s="12" t="n">
        <v>211.1</v>
      </c>
      <c r="N39" s="12" t="n">
        <v>6.38</v>
      </c>
      <c r="O39" s="12" t="n">
        <v>17.49</v>
      </c>
      <c r="P39" s="12" t="n">
        <v>27.16</v>
      </c>
      <c r="Q39" s="12" t="n">
        <v>49.49</v>
      </c>
      <c r="R39" s="12" t="n">
        <v>15.54</v>
      </c>
      <c r="S39" s="12" t="n">
        <v>21.62</v>
      </c>
      <c r="T39" s="12" t="n">
        <v>3.6732</v>
      </c>
    </row>
    <row r="40">
      <c r="A40" s="14" t="inlineStr">
        <is>
          <t>2025-08-28</t>
        </is>
      </c>
      <c r="B40" s="9" t="n">
        <v>44.03</v>
      </c>
      <c r="C40" s="9" t="n">
        <v>48.94</v>
      </c>
      <c r="D40" s="9" t="n">
        <v>27.76</v>
      </c>
      <c r="E40" s="9" t="n">
        <v>2.68</v>
      </c>
      <c r="F40" s="9" t="n">
        <v>13.9</v>
      </c>
      <c r="G40" s="9" t="n">
        <v>27.8</v>
      </c>
      <c r="H40" s="9" t="n">
        <v>29</v>
      </c>
      <c r="I40" s="9" t="n">
        <v>77.14</v>
      </c>
      <c r="J40" s="9" t="n">
        <v>103.69</v>
      </c>
      <c r="K40" s="9" t="n">
        <v>5.7</v>
      </c>
      <c r="L40" s="9" t="n">
        <v>93.03</v>
      </c>
      <c r="M40" s="9" t="n">
        <v>225.54</v>
      </c>
      <c r="N40" s="9" t="n">
        <v>6.38</v>
      </c>
      <c r="O40" s="9" t="n">
        <v>17.52</v>
      </c>
      <c r="P40" s="9" t="n">
        <v>27.59</v>
      </c>
      <c r="Q40" s="9" t="n">
        <v>50.49</v>
      </c>
      <c r="R40" s="9" t="n">
        <v>15.69</v>
      </c>
      <c r="S40" s="9" t="n">
        <v>21.62</v>
      </c>
      <c r="T40" s="9" t="n">
        <v>3.67545</v>
      </c>
    </row>
    <row r="41">
      <c r="A41" s="15" t="inlineStr">
        <is>
          <t>2025-08-29</t>
        </is>
      </c>
      <c r="B41" s="12" t="n">
        <v>43.94</v>
      </c>
      <c r="C41" s="12" t="n">
        <v>49.81</v>
      </c>
      <c r="D41" s="12" t="n">
        <v>27.76</v>
      </c>
      <c r="E41" s="12" t="n">
        <v>2.68</v>
      </c>
      <c r="F41" s="12" t="n">
        <v>13.9</v>
      </c>
      <c r="G41" s="12" t="n">
        <v>27.8</v>
      </c>
      <c r="H41" s="12" t="n">
        <v>29</v>
      </c>
      <c r="I41" s="12" t="n">
        <v>80.05</v>
      </c>
      <c r="J41" s="12" t="n">
        <v>104.03</v>
      </c>
      <c r="K41" s="12" t="n">
        <v>5.86</v>
      </c>
      <c r="L41" s="12" t="n">
        <v>89.40000000000001</v>
      </c>
      <c r="M41" s="12" t="n">
        <v>225.08</v>
      </c>
      <c r="N41" s="12" t="n">
        <v>6.38</v>
      </c>
      <c r="O41" s="12" t="n">
        <v>18.18</v>
      </c>
      <c r="P41" s="12" t="n">
        <v>26.99</v>
      </c>
      <c r="Q41" s="12" t="n">
        <v>51.43</v>
      </c>
      <c r="R41" s="12" t="n">
        <v>15.46</v>
      </c>
      <c r="S41" s="12" t="n">
        <v>21.62</v>
      </c>
      <c r="T41" s="12" t="n">
        <v>3.67545</v>
      </c>
    </row>
    <row r="42">
      <c r="A42" s="14" t="inlineStr">
        <is>
          <t>2025-09-01</t>
        </is>
      </c>
      <c r="B42" s="9" t="n">
        <v>43.94</v>
      </c>
      <c r="C42" s="9" t="n">
        <v>49.81</v>
      </c>
      <c r="D42" s="9" t="n">
        <v>27.76</v>
      </c>
      <c r="E42" s="9" t="n">
        <v>2.68</v>
      </c>
      <c r="F42" s="9" t="n">
        <v>13.9</v>
      </c>
      <c r="G42" s="9" t="n">
        <v>27.8</v>
      </c>
      <c r="H42" s="9" t="n">
        <v>29</v>
      </c>
      <c r="I42" s="9" t="n">
        <v>80.05</v>
      </c>
      <c r="J42" s="9" t="n">
        <v>104.03</v>
      </c>
      <c r="K42" s="9" t="n">
        <v>5.86</v>
      </c>
      <c r="L42" s="9" t="n">
        <v>89.40000000000001</v>
      </c>
      <c r="M42" s="9" t="n">
        <v>225.08</v>
      </c>
      <c r="N42" s="9" t="n">
        <v>6.38</v>
      </c>
      <c r="O42" s="9" t="n">
        <v>18.18</v>
      </c>
      <c r="P42" s="9" t="n">
        <v>26.99</v>
      </c>
      <c r="Q42" s="9" t="n">
        <v>51.43</v>
      </c>
      <c r="R42" s="9" t="n">
        <v>15.46</v>
      </c>
      <c r="S42" s="9" t="n">
        <v>21.62</v>
      </c>
      <c r="T42" s="9" t="n">
        <v>3.6737</v>
      </c>
    </row>
    <row r="43">
      <c r="A43" s="15" t="inlineStr">
        <is>
          <t>2025-09-02</t>
        </is>
      </c>
      <c r="B43" s="12" t="n">
        <v>44.27</v>
      </c>
      <c r="C43" s="12" t="n">
        <v>50.15</v>
      </c>
      <c r="D43" s="12" t="n">
        <v>27.76</v>
      </c>
      <c r="E43" s="12" t="n">
        <v>2.68</v>
      </c>
      <c r="F43" s="12" t="n">
        <v>13.9</v>
      </c>
      <c r="G43" s="12" t="n">
        <v>27.8</v>
      </c>
      <c r="H43" s="12" t="n">
        <v>29</v>
      </c>
      <c r="I43" s="12" t="n">
        <v>82.95999999999999</v>
      </c>
      <c r="J43" s="12" t="n">
        <v>100.84</v>
      </c>
      <c r="K43" s="12" t="n">
        <v>5.46</v>
      </c>
      <c r="L43" s="12" t="n">
        <v>87.90000000000001</v>
      </c>
      <c r="M43" s="12" t="n">
        <v>220.06</v>
      </c>
      <c r="N43" s="12" t="n">
        <v>6.38</v>
      </c>
      <c r="O43" s="12" t="n">
        <v>18.77</v>
      </c>
      <c r="P43" s="12" t="n">
        <v>26.27</v>
      </c>
      <c r="Q43" s="12" t="n">
        <v>51.4</v>
      </c>
      <c r="R43" s="12" t="n">
        <v>14.85</v>
      </c>
      <c r="S43" s="12" t="n">
        <v>21.62</v>
      </c>
      <c r="T43" s="12" t="n">
        <v>3.6732</v>
      </c>
    </row>
    <row r="44">
      <c r="A44" s="14" t="inlineStr">
        <is>
          <t>2025-09-03</t>
        </is>
      </c>
      <c r="B44" s="9" t="n">
        <v>43.97</v>
      </c>
      <c r="C44" s="9" t="n">
        <v>51.03</v>
      </c>
      <c r="D44" s="9" t="n">
        <v>27.76</v>
      </c>
      <c r="E44" s="9" t="n">
        <v>2.68</v>
      </c>
      <c r="F44" s="9" t="n">
        <v>13.9</v>
      </c>
      <c r="G44" s="9" t="n">
        <v>27.8</v>
      </c>
      <c r="H44" s="9" t="n">
        <v>29</v>
      </c>
      <c r="I44" s="9" t="n">
        <v>83.8</v>
      </c>
      <c r="J44" s="9" t="n">
        <v>100.82</v>
      </c>
      <c r="K44" s="9" t="n">
        <v>5.03</v>
      </c>
      <c r="L44" s="9" t="n">
        <v>87.72</v>
      </c>
      <c r="M44" s="9" t="n">
        <v>223.14</v>
      </c>
      <c r="N44" s="9" t="n">
        <v>6.38</v>
      </c>
      <c r="O44" s="9" t="n">
        <v>18.92</v>
      </c>
      <c r="P44" s="9" t="n">
        <v>25.8</v>
      </c>
      <c r="Q44" s="9" t="n">
        <v>51.89</v>
      </c>
      <c r="R44" s="9" t="n">
        <v>14.97</v>
      </c>
      <c r="S44" s="9" t="n">
        <v>21.62</v>
      </c>
      <c r="T44" s="9" t="n">
        <v>3.673225</v>
      </c>
    </row>
    <row r="45">
      <c r="A45" s="15" t="inlineStr">
        <is>
          <t>2025-09-04</t>
        </is>
      </c>
      <c r="B45" s="12" t="n">
        <v>44.27</v>
      </c>
      <c r="C45" s="12" t="n">
        <v>50.14</v>
      </c>
      <c r="D45" s="12" t="n">
        <v>27.76</v>
      </c>
      <c r="E45" s="12" t="n">
        <v>2.68</v>
      </c>
      <c r="F45" s="12" t="n">
        <v>13.9</v>
      </c>
      <c r="G45" s="12" t="n">
        <v>27.8</v>
      </c>
      <c r="H45" s="12" t="n">
        <v>29</v>
      </c>
      <c r="I45" s="12" t="n">
        <v>82.68000000000001</v>
      </c>
      <c r="J45" s="12" t="n">
        <v>102.91</v>
      </c>
      <c r="K45" s="12" t="n">
        <v>5.33</v>
      </c>
      <c r="L45" s="12" t="n">
        <v>86.55</v>
      </c>
      <c r="M45" s="12" t="n">
        <v>232.11</v>
      </c>
      <c r="N45" s="12" t="n">
        <v>6.38</v>
      </c>
      <c r="O45" s="12" t="n">
        <v>18.64</v>
      </c>
      <c r="P45" s="12" t="n">
        <v>26.45</v>
      </c>
      <c r="Q45" s="12" t="n">
        <v>51.1</v>
      </c>
      <c r="R45" s="12" t="n">
        <v>15.32</v>
      </c>
      <c r="S45" s="12" t="n">
        <v>21.62</v>
      </c>
      <c r="T45" s="12" t="n">
        <v>3.67345</v>
      </c>
    </row>
    <row r="46">
      <c r="A46" s="14" t="inlineStr">
        <is>
          <t>2025-09-05</t>
        </is>
      </c>
      <c r="B46" s="9" t="n">
        <v>44.94</v>
      </c>
      <c r="C46" s="9" t="n">
        <v>51.06</v>
      </c>
      <c r="D46" s="9" t="n">
        <v>27.76</v>
      </c>
      <c r="E46" s="9" t="n">
        <v>2.68</v>
      </c>
      <c r="F46" s="9" t="n">
        <v>13.9</v>
      </c>
      <c r="G46" s="9" t="n">
        <v>27.8</v>
      </c>
      <c r="H46" s="9" t="n">
        <v>29</v>
      </c>
      <c r="I46" s="9" t="n">
        <v>84.86</v>
      </c>
      <c r="J46" s="9" t="n">
        <v>101.25</v>
      </c>
      <c r="K46" s="9" t="n">
        <v>5.63</v>
      </c>
      <c r="L46" s="9" t="n">
        <v>90.93000000000001</v>
      </c>
      <c r="M46" s="9" t="n">
        <v>240</v>
      </c>
      <c r="N46" s="9" t="n">
        <v>6.38</v>
      </c>
      <c r="O46" s="9" t="n">
        <v>18.98</v>
      </c>
      <c r="P46" s="9" t="n">
        <v>26.86</v>
      </c>
      <c r="Q46" s="9" t="n">
        <v>51.79</v>
      </c>
      <c r="R46" s="9" t="n">
        <v>15.56</v>
      </c>
      <c r="S46" s="9" t="n">
        <v>21.62</v>
      </c>
      <c r="T46" s="9" t="n">
        <v>3.67345</v>
      </c>
    </row>
    <row r="47">
      <c r="A47" s="15" t="inlineStr">
        <is>
          <t>2025-09-08</t>
        </is>
      </c>
      <c r="B47" s="12" t="n">
        <v>44.61</v>
      </c>
      <c r="C47" s="12" t="n">
        <v>51.42</v>
      </c>
      <c r="D47" s="12" t="n">
        <v>27.76</v>
      </c>
      <c r="E47" s="12" t="n">
        <v>2.68</v>
      </c>
      <c r="F47" s="12" t="n">
        <v>13.9</v>
      </c>
      <c r="G47" s="12" t="n">
        <v>27.8</v>
      </c>
      <c r="H47" s="12" t="n">
        <v>29</v>
      </c>
      <c r="I47" s="12" t="n">
        <v>86.38</v>
      </c>
      <c r="J47" s="12" t="n">
        <v>117.28</v>
      </c>
      <c r="K47" s="12" t="n">
        <v>6.06</v>
      </c>
      <c r="L47" s="12" t="n">
        <v>95.61</v>
      </c>
      <c r="M47" s="12" t="n">
        <v>229.98</v>
      </c>
      <c r="N47" s="12" t="n">
        <v>6.38</v>
      </c>
      <c r="O47" s="12" t="n">
        <v>19.47</v>
      </c>
      <c r="P47" s="12" t="n">
        <v>26.61</v>
      </c>
      <c r="Q47" s="12" t="n">
        <v>53.56</v>
      </c>
      <c r="R47" s="12" t="n">
        <v>15.38</v>
      </c>
      <c r="S47" s="12" t="n">
        <v>21.62</v>
      </c>
      <c r="T47" s="12" t="n">
        <v>3.67315</v>
      </c>
    </row>
    <row r="48">
      <c r="A48" s="14" t="inlineStr">
        <is>
          <t>2025-09-09</t>
        </is>
      </c>
      <c r="B48" s="9" t="n">
        <v>44.36</v>
      </c>
      <c r="C48" s="9" t="n">
        <v>51.43</v>
      </c>
      <c r="D48" s="9" t="n">
        <v>27.76</v>
      </c>
      <c r="E48" s="9" t="n">
        <v>2.68</v>
      </c>
      <c r="F48" s="9" t="n">
        <v>13.9</v>
      </c>
      <c r="G48" s="9" t="n">
        <v>27.8</v>
      </c>
      <c r="H48" s="9" t="n">
        <v>29</v>
      </c>
      <c r="I48" s="9" t="n">
        <v>85.59999999999999</v>
      </c>
      <c r="J48" s="9" t="n">
        <v>118.5</v>
      </c>
      <c r="K48" s="9" t="n">
        <v>5.45</v>
      </c>
      <c r="L48" s="9" t="n">
        <v>98.5</v>
      </c>
      <c r="M48" s="9" t="n">
        <v>240.2</v>
      </c>
      <c r="N48" s="9" t="n">
        <v>6.38</v>
      </c>
      <c r="O48" s="9" t="n">
        <v>19.19</v>
      </c>
      <c r="P48" s="9" t="n">
        <v>25.95</v>
      </c>
      <c r="Q48" s="9" t="n">
        <v>53.93</v>
      </c>
      <c r="R48" s="9" t="n">
        <v>15.25</v>
      </c>
      <c r="S48" s="9" t="n">
        <v>21.62</v>
      </c>
      <c r="T48" s="9" t="n">
        <v>3.67315</v>
      </c>
    </row>
    <row r="49">
      <c r="A49" s="15" t="inlineStr">
        <is>
          <t>2025-09-10</t>
        </is>
      </c>
      <c r="B49" s="12" t="n">
        <v>44.4</v>
      </c>
      <c r="C49" s="12" t="n">
        <v>51.79</v>
      </c>
      <c r="D49" s="12" t="n">
        <v>27.76</v>
      </c>
      <c r="E49" s="12" t="n">
        <v>2.68</v>
      </c>
      <c r="F49" s="12" t="n">
        <v>13.9</v>
      </c>
      <c r="G49" s="12" t="n">
        <v>27.8</v>
      </c>
      <c r="H49" s="12" t="n">
        <v>29</v>
      </c>
      <c r="I49" s="12" t="n">
        <v>88.09</v>
      </c>
      <c r="J49" s="12" t="n">
        <v>117.46</v>
      </c>
      <c r="K49" s="12" t="n">
        <v>5.56</v>
      </c>
      <c r="L49" s="12" t="n">
        <v>80.72</v>
      </c>
      <c r="M49" s="12" t="n">
        <v>259.03</v>
      </c>
      <c r="N49" s="12" t="n">
        <v>6.38</v>
      </c>
      <c r="O49" s="12" t="n">
        <v>19.73</v>
      </c>
      <c r="P49" s="12" t="n">
        <v>25.79</v>
      </c>
      <c r="Q49" s="12" t="n">
        <v>54</v>
      </c>
      <c r="R49" s="12" t="n">
        <v>15.29</v>
      </c>
      <c r="S49" s="12" t="n">
        <v>21.62</v>
      </c>
      <c r="T49" s="12" t="n">
        <v>3.67315</v>
      </c>
    </row>
    <row r="50">
      <c r="A50" s="14" t="inlineStr">
        <is>
          <t>2025-09-11</t>
        </is>
      </c>
      <c r="B50" s="9" t="n">
        <v>44.95</v>
      </c>
      <c r="C50" s="9" t="n">
        <v>53</v>
      </c>
      <c r="D50" s="9" t="n">
        <v>27.76</v>
      </c>
      <c r="E50" s="9" t="n">
        <v>2.68</v>
      </c>
      <c r="F50" s="9" t="n">
        <v>13.9</v>
      </c>
      <c r="G50" s="9" t="n">
        <v>27.8</v>
      </c>
      <c r="H50" s="9" t="n">
        <v>29</v>
      </c>
      <c r="I50" s="9" t="n">
        <v>90.01000000000001</v>
      </c>
      <c r="J50" s="9" t="n">
        <v>117.75</v>
      </c>
      <c r="K50" s="9" t="n">
        <v>6.42</v>
      </c>
      <c r="L50" s="9" t="n">
        <v>77.89</v>
      </c>
      <c r="M50" s="9" t="n">
        <v>260.54</v>
      </c>
      <c r="N50" s="9" t="n">
        <v>6.38</v>
      </c>
      <c r="O50" s="9" t="n">
        <v>20.33</v>
      </c>
      <c r="P50" s="9" t="n">
        <v>26.15</v>
      </c>
      <c r="Q50" s="9" t="n">
        <v>53.44</v>
      </c>
      <c r="R50" s="9" t="n">
        <v>15.5</v>
      </c>
      <c r="S50" s="9" t="n">
        <v>21.62</v>
      </c>
      <c r="T50" s="9" t="n">
        <v>3.673525</v>
      </c>
    </row>
    <row r="51">
      <c r="A51" s="15" t="inlineStr">
        <is>
          <t>2025-09-12</t>
        </is>
      </c>
      <c r="B51" s="12" t="n">
        <v>44.39</v>
      </c>
      <c r="C51" s="12" t="n">
        <v>53.4</v>
      </c>
      <c r="D51" s="12" t="n">
        <v>27.76</v>
      </c>
      <c r="E51" s="12" t="n">
        <v>2.68</v>
      </c>
      <c r="F51" s="12" t="n">
        <v>13.9</v>
      </c>
      <c r="G51" s="12" t="n">
        <v>27.8</v>
      </c>
      <c r="H51" s="12" t="n">
        <v>29</v>
      </c>
      <c r="I51" s="12" t="n">
        <v>90.03</v>
      </c>
      <c r="J51" s="12" t="n">
        <v>115.03</v>
      </c>
      <c r="K51" s="12" t="n">
        <v>6.56</v>
      </c>
      <c r="L51" s="12" t="n">
        <v>74.5</v>
      </c>
      <c r="M51" s="12" t="n">
        <v>254.29</v>
      </c>
      <c r="N51" s="12" t="n">
        <v>6.38</v>
      </c>
      <c r="O51" s="12" t="n">
        <v>20.48</v>
      </c>
      <c r="P51" s="12" t="n">
        <v>25.91</v>
      </c>
      <c r="Q51" s="12" t="n">
        <v>51.98</v>
      </c>
      <c r="R51" s="12" t="n">
        <v>15.25</v>
      </c>
      <c r="S51" s="12" t="n">
        <v>21.62</v>
      </c>
      <c r="T51" s="12" t="n">
        <v>3.673525</v>
      </c>
    </row>
    <row r="52">
      <c r="A52" s="14" t="inlineStr">
        <is>
          <t>2025-09-15</t>
        </is>
      </c>
      <c r="B52" s="9" t="n">
        <v>44.16</v>
      </c>
      <c r="C52" s="9" t="n">
        <v>54.24</v>
      </c>
      <c r="D52" s="9" t="n">
        <v>27.76</v>
      </c>
      <c r="E52" s="9" t="n">
        <v>2.68</v>
      </c>
      <c r="F52" s="9" t="n">
        <v>13.9</v>
      </c>
      <c r="G52" s="9" t="n">
        <v>27.8</v>
      </c>
      <c r="H52" s="9" t="n">
        <v>29</v>
      </c>
      <c r="I52" s="9" t="n">
        <v>91.48999999999999</v>
      </c>
      <c r="J52" s="9" t="n">
        <v>114.83</v>
      </c>
      <c r="K52" s="9" t="n">
        <v>6.38</v>
      </c>
      <c r="L52" s="9" t="n">
        <v>75.59999999999999</v>
      </c>
      <c r="M52" s="9" t="n">
        <v>263.64</v>
      </c>
      <c r="N52" s="9" t="n">
        <v>6.38</v>
      </c>
      <c r="O52" s="9" t="n">
        <v>21.18</v>
      </c>
      <c r="P52" s="9" t="n">
        <v>26.98</v>
      </c>
      <c r="Q52" s="9" t="n">
        <v>57.21</v>
      </c>
      <c r="R52" s="9" t="n">
        <v>15.11</v>
      </c>
      <c r="S52" s="9" t="n">
        <v>21.62</v>
      </c>
      <c r="T52" s="9" t="n">
        <v>3.67315</v>
      </c>
    </row>
    <row r="53">
      <c r="A53" s="15" t="inlineStr">
        <is>
          <t>2025-09-16</t>
        </is>
      </c>
      <c r="B53" s="12" t="n">
        <v>44.24</v>
      </c>
      <c r="C53" s="12" t="n">
        <v>53.73</v>
      </c>
      <c r="D53" s="12" t="n">
        <v>27.76</v>
      </c>
      <c r="E53" s="12" t="n">
        <v>2.68</v>
      </c>
      <c r="F53" s="12" t="n">
        <v>13.9</v>
      </c>
      <c r="G53" s="12" t="n">
        <v>27.8</v>
      </c>
      <c r="H53" s="12" t="n">
        <v>29</v>
      </c>
      <c r="I53" s="12" t="n">
        <v>88.84999999999999</v>
      </c>
      <c r="J53" s="12" t="n">
        <v>117.38</v>
      </c>
      <c r="K53" s="12" t="n">
        <v>6.09</v>
      </c>
      <c r="L53" s="12" t="n">
        <v>75</v>
      </c>
      <c r="M53" s="12" t="n">
        <v>266.66</v>
      </c>
      <c r="N53" s="12" t="n">
        <v>6.38</v>
      </c>
      <c r="O53" s="12" t="n">
        <v>20.52</v>
      </c>
      <c r="P53" s="12" t="n">
        <v>27.24</v>
      </c>
      <c r="Q53" s="12" t="n">
        <v>55.05</v>
      </c>
      <c r="R53" s="12" t="n">
        <v>15.2</v>
      </c>
      <c r="S53" s="12" t="n">
        <v>21.62</v>
      </c>
      <c r="T53" s="12" t="n">
        <v>3.673125</v>
      </c>
    </row>
    <row r="54">
      <c r="A54" s="14" t="inlineStr">
        <is>
          <t>2025-09-17</t>
        </is>
      </c>
      <c r="B54" s="9" t="n">
        <v>44.08</v>
      </c>
      <c r="C54" s="9" t="n">
        <v>53.03</v>
      </c>
      <c r="D54" s="9" t="n">
        <v>27.76</v>
      </c>
      <c r="E54" s="9" t="n">
        <v>2.68</v>
      </c>
      <c r="F54" s="9" t="n">
        <v>13.9</v>
      </c>
      <c r="G54" s="9" t="n">
        <v>27.8</v>
      </c>
      <c r="H54" s="9" t="n">
        <v>29</v>
      </c>
      <c r="I54" s="9" t="n">
        <v>87.61</v>
      </c>
      <c r="J54" s="9" t="n">
        <v>118.64</v>
      </c>
      <c r="K54" s="9" t="n">
        <v>6.1</v>
      </c>
      <c r="L54" s="9" t="n">
        <v>73.89</v>
      </c>
      <c r="M54" s="9" t="n">
        <v>266.47</v>
      </c>
      <c r="N54" s="9" t="n">
        <v>6.38</v>
      </c>
      <c r="O54" s="9" t="n">
        <v>20.21</v>
      </c>
      <c r="P54" s="9" t="n">
        <v>27.19</v>
      </c>
      <c r="Q54" s="9" t="n">
        <v>55.97</v>
      </c>
      <c r="R54" s="9" t="n">
        <v>15.18</v>
      </c>
      <c r="S54" s="9" t="n">
        <v>21.62</v>
      </c>
      <c r="T54" s="9" t="n">
        <v>3.672875</v>
      </c>
    </row>
    <row r="55">
      <c r="A55" s="15" t="inlineStr">
        <is>
          <t>2025-09-18</t>
        </is>
      </c>
      <c r="B55" s="12" t="n">
        <v>46.19</v>
      </c>
      <c r="C55" s="12" t="n">
        <v>52.68</v>
      </c>
      <c r="D55" s="12" t="n">
        <v>27.76</v>
      </c>
      <c r="E55" s="12" t="n">
        <v>2.68</v>
      </c>
      <c r="F55" s="12" t="n">
        <v>13.9</v>
      </c>
      <c r="G55" s="12" t="n">
        <v>27.8</v>
      </c>
      <c r="H55" s="12" t="n">
        <v>29</v>
      </c>
      <c r="I55" s="12" t="n">
        <v>87.56999999999999</v>
      </c>
      <c r="J55" s="12" t="n">
        <v>120.91</v>
      </c>
      <c r="K55" s="12" t="n">
        <v>6.6</v>
      </c>
      <c r="L55" s="12" t="n">
        <v>78.02</v>
      </c>
      <c r="M55" s="12" t="n">
        <v>270.71</v>
      </c>
      <c r="N55" s="12" t="n">
        <v>6.38</v>
      </c>
      <c r="O55" s="12" t="n">
        <v>20.1</v>
      </c>
      <c r="P55" s="12" t="n">
        <v>28.39</v>
      </c>
      <c r="Q55" s="12" t="n">
        <v>56.23</v>
      </c>
      <c r="R55" s="12" t="n">
        <v>15.81</v>
      </c>
      <c r="S55" s="12" t="n">
        <v>21.62</v>
      </c>
      <c r="T55" s="12" t="n">
        <v>3.67345</v>
      </c>
    </row>
    <row r="56">
      <c r="A56" s="14" t="inlineStr">
        <is>
          <t>2025-09-19</t>
        </is>
      </c>
      <c r="B56" s="9" t="n">
        <v>46.48</v>
      </c>
      <c r="C56" s="9" t="n">
        <v>53.54</v>
      </c>
      <c r="D56" s="9" t="n">
        <v>27.76</v>
      </c>
      <c r="E56" s="9" t="n">
        <v>2.68</v>
      </c>
      <c r="F56" s="9" t="n">
        <v>13.9</v>
      </c>
      <c r="G56" s="9" t="n">
        <v>27.8</v>
      </c>
      <c r="H56" s="9" t="n">
        <v>29</v>
      </c>
      <c r="I56" s="9" t="n">
        <v>91.98</v>
      </c>
      <c r="J56" s="9" t="n">
        <v>124.78</v>
      </c>
      <c r="K56" s="9" t="n">
        <v>6.72</v>
      </c>
      <c r="L56" s="9" t="n">
        <v>80.23</v>
      </c>
      <c r="M56" s="9" t="n">
        <v>264.48</v>
      </c>
      <c r="N56" s="9" t="n">
        <v>6.38</v>
      </c>
      <c r="O56" s="9" t="n">
        <v>21</v>
      </c>
      <c r="P56" s="9" t="n">
        <v>27.8</v>
      </c>
      <c r="Q56" s="9" t="n">
        <v>58.25</v>
      </c>
      <c r="R56" s="9" t="n">
        <v>15.36</v>
      </c>
      <c r="S56" s="9" t="n">
        <v>21.62</v>
      </c>
      <c r="T56" s="9" t="n">
        <v>3.67345</v>
      </c>
    </row>
    <row r="57">
      <c r="A57" s="15" t="inlineStr">
        <is>
          <t>2025-09-22</t>
        </is>
      </c>
      <c r="B57" s="12" t="n">
        <v>46.54</v>
      </c>
      <c r="C57" s="12" t="n">
        <v>54.19</v>
      </c>
      <c r="D57" s="12" t="n">
        <v>27.76</v>
      </c>
      <c r="E57" s="12" t="n">
        <v>2.68</v>
      </c>
      <c r="F57" s="12" t="n">
        <v>13.9</v>
      </c>
      <c r="G57" s="12" t="n">
        <v>27.8</v>
      </c>
      <c r="H57" s="12" t="n">
        <v>29</v>
      </c>
      <c r="I57" s="12" t="n">
        <v>95.18000000000001</v>
      </c>
      <c r="J57" s="12" t="n">
        <v>124.89</v>
      </c>
      <c r="K57" s="12" t="n">
        <v>7.26</v>
      </c>
      <c r="L57" s="12" t="n">
        <v>80.48999999999999</v>
      </c>
      <c r="M57" s="12" t="n">
        <v>257.56</v>
      </c>
      <c r="N57" s="12" t="n">
        <v>6.38</v>
      </c>
      <c r="O57" s="12" t="n">
        <v>22.1</v>
      </c>
      <c r="P57" s="12" t="n">
        <v>28.52</v>
      </c>
      <c r="Q57" s="12" t="n">
        <v>59.99</v>
      </c>
      <c r="R57" s="12" t="n">
        <v>15.36</v>
      </c>
      <c r="S57" s="12" t="n">
        <v>21.62</v>
      </c>
      <c r="T57" s="12" t="n">
        <v>3.673175</v>
      </c>
    </row>
    <row r="58">
      <c r="A58" s="14" t="inlineStr">
        <is>
          <t>2025-09-23</t>
        </is>
      </c>
      <c r="B58" s="9" t="n">
        <v>46.43</v>
      </c>
      <c r="C58" s="9" t="n">
        <v>54.12</v>
      </c>
      <c r="D58" s="9" t="n">
        <v>27.76</v>
      </c>
      <c r="E58" s="9" t="n">
        <v>2.68</v>
      </c>
      <c r="F58" s="9" t="n">
        <v>13.9</v>
      </c>
      <c r="G58" s="9" t="n">
        <v>27.8</v>
      </c>
      <c r="H58" s="9" t="n">
        <v>29</v>
      </c>
      <c r="I58" s="9" t="n">
        <v>95.01000000000001</v>
      </c>
      <c r="J58" s="9" t="n">
        <v>126.2</v>
      </c>
      <c r="K58" s="9" t="n">
        <v>7.88</v>
      </c>
      <c r="L58" s="9" t="n">
        <v>81.45999999999999</v>
      </c>
      <c r="M58" s="9" t="n">
        <v>237.45</v>
      </c>
      <c r="N58" s="9" t="n">
        <v>6.38</v>
      </c>
      <c r="O58" s="9" t="n">
        <v>21.9</v>
      </c>
      <c r="P58" s="9" t="n">
        <v>28.66</v>
      </c>
      <c r="Q58" s="9" t="n">
        <v>60.1</v>
      </c>
      <c r="R58" s="9" t="n">
        <v>15.21</v>
      </c>
      <c r="S58" s="9" t="n">
        <v>21.62</v>
      </c>
      <c r="T58" s="9" t="n">
        <v>3.67315</v>
      </c>
    </row>
    <row r="59">
      <c r="A59" s="15" t="inlineStr">
        <is>
          <t>2025-09-24</t>
        </is>
      </c>
      <c r="B59" s="12" t="n">
        <v>45.52</v>
      </c>
      <c r="C59" s="12" t="n">
        <v>55.94</v>
      </c>
      <c r="D59" s="12" t="n">
        <v>27.76</v>
      </c>
      <c r="E59" s="12" t="n">
        <v>2.68</v>
      </c>
      <c r="F59" s="12" t="n">
        <v>13.9</v>
      </c>
      <c r="G59" s="12" t="n">
        <v>27.8</v>
      </c>
      <c r="H59" s="12" t="n">
        <v>29</v>
      </c>
      <c r="I59" s="12" t="n">
        <v>92.78</v>
      </c>
      <c r="J59" s="12" t="n">
        <v>126.8</v>
      </c>
      <c r="K59" s="12" t="n">
        <v>7.35</v>
      </c>
      <c r="L59" s="12" t="n">
        <v>79.12</v>
      </c>
      <c r="M59" s="12" t="n">
        <v>235.69</v>
      </c>
      <c r="N59" s="12" t="n">
        <v>6.38</v>
      </c>
      <c r="O59" s="12" t="n">
        <v>21.43</v>
      </c>
      <c r="P59" s="12" t="n">
        <v>29.02</v>
      </c>
      <c r="Q59" s="12" t="n">
        <v>58.85</v>
      </c>
      <c r="R59" s="12" t="n">
        <v>15.23</v>
      </c>
      <c r="S59" s="12" t="n">
        <v>21.62</v>
      </c>
      <c r="T59" s="12" t="n">
        <v>3.67315</v>
      </c>
    </row>
    <row r="60">
      <c r="A60" s="14" t="inlineStr">
        <is>
          <t>2025-09-25</t>
        </is>
      </c>
      <c r="B60" s="9" t="n">
        <v>44.87</v>
      </c>
      <c r="C60" s="9" t="n">
        <v>56.22</v>
      </c>
      <c r="D60" s="9" t="n">
        <v>27.76</v>
      </c>
      <c r="E60" s="9" t="n">
        <v>2.68</v>
      </c>
      <c r="F60" s="9" t="n">
        <v>13.9</v>
      </c>
      <c r="G60" s="9" t="n">
        <v>27.8</v>
      </c>
      <c r="H60" s="9" t="n">
        <v>29</v>
      </c>
      <c r="I60" s="9" t="n">
        <v>93.98999999999999</v>
      </c>
      <c r="J60" s="9" t="n">
        <v>122.65</v>
      </c>
      <c r="K60" s="9" t="n">
        <v>7.75</v>
      </c>
      <c r="L60" s="9" t="n">
        <v>81.98999999999999</v>
      </c>
      <c r="M60" s="9" t="n">
        <v>232.75</v>
      </c>
      <c r="N60" s="9" t="n">
        <v>6.38</v>
      </c>
      <c r="O60" s="9" t="n">
        <v>21.98</v>
      </c>
      <c r="P60" s="9" t="n">
        <v>28.3</v>
      </c>
      <c r="Q60" s="9" t="n">
        <v>61.05</v>
      </c>
      <c r="R60" s="9" t="n">
        <v>14.9</v>
      </c>
      <c r="S60" s="9" t="n">
        <v>21.62</v>
      </c>
      <c r="T60" s="9" t="n">
        <v>3.67325</v>
      </c>
    </row>
    <row r="61">
      <c r="A61" s="15" t="inlineStr">
        <is>
          <t>2025-09-26</t>
        </is>
      </c>
      <c r="B61" s="12" t="n">
        <v>45.79</v>
      </c>
      <c r="C61" s="12" t="n">
        <v>56.99</v>
      </c>
      <c r="D61" s="12" t="n">
        <v>27.76</v>
      </c>
      <c r="E61" s="12" t="n">
        <v>2.68</v>
      </c>
      <c r="F61" s="12" t="n">
        <v>13.9</v>
      </c>
      <c r="G61" s="12" t="n">
        <v>27.8</v>
      </c>
      <c r="H61" s="12" t="n">
        <v>29</v>
      </c>
      <c r="I61" s="12" t="n">
        <v>96.20999999999999</v>
      </c>
      <c r="J61" s="12" t="n">
        <v>121.78</v>
      </c>
      <c r="K61" s="12" t="n">
        <v>7.66</v>
      </c>
      <c r="L61" s="12" t="n">
        <v>82.15000000000001</v>
      </c>
      <c r="M61" s="12" t="n">
        <v>240.11</v>
      </c>
      <c r="N61" s="12" t="n">
        <v>6.38</v>
      </c>
      <c r="O61" s="12" t="n">
        <v>22.48</v>
      </c>
      <c r="P61" s="12" t="n">
        <v>28</v>
      </c>
      <c r="Q61" s="12" t="n">
        <v>60.49</v>
      </c>
      <c r="R61" s="12" t="n">
        <v>15.03</v>
      </c>
      <c r="S61" s="12" t="n">
        <v>21.62</v>
      </c>
      <c r="T61" s="12" t="n">
        <v>3.67325</v>
      </c>
    </row>
    <row r="62">
      <c r="A62" s="14" t="inlineStr">
        <is>
          <t>2025-09-29</t>
        </is>
      </c>
      <c r="B62" s="9" t="n">
        <v>45.55</v>
      </c>
      <c r="C62" s="9" t="n">
        <v>59.23</v>
      </c>
      <c r="D62" s="9" t="n">
        <v>27.76</v>
      </c>
      <c r="E62" s="9" t="n">
        <v>2.68</v>
      </c>
      <c r="F62" s="9" t="n">
        <v>13.9</v>
      </c>
      <c r="G62" s="9" t="n">
        <v>27.8</v>
      </c>
      <c r="H62" s="9" t="n">
        <v>29</v>
      </c>
      <c r="I62" s="9" t="n">
        <v>98.23999999999999</v>
      </c>
      <c r="J62" s="9" t="n">
        <v>136.72</v>
      </c>
      <c r="K62" s="9" t="n">
        <v>7.87</v>
      </c>
      <c r="L62" s="9" t="n">
        <v>83.34</v>
      </c>
      <c r="M62" s="9" t="n">
        <v>241.98</v>
      </c>
      <c r="N62" s="9" t="n">
        <v>6.38</v>
      </c>
      <c r="O62" s="9" t="n">
        <v>23.05</v>
      </c>
      <c r="P62" s="9" t="n">
        <v>28.09</v>
      </c>
      <c r="Q62" s="9" t="n">
        <v>60.34</v>
      </c>
      <c r="R62" s="9" t="n">
        <v>15.16</v>
      </c>
      <c r="S62" s="9" t="n">
        <v>21.62</v>
      </c>
      <c r="T62" s="9" t="n">
        <v>3.673175</v>
      </c>
    </row>
    <row r="63">
      <c r="A63" s="15" t="inlineStr">
        <is>
          <t>2025-09-30</t>
        </is>
      </c>
      <c r="B63" s="12" t="n">
        <v>45.3</v>
      </c>
      <c r="C63" s="12" t="n">
        <v>59.81</v>
      </c>
      <c r="D63" s="12" t="n">
        <v>27.76</v>
      </c>
      <c r="E63" s="12" t="n">
        <v>2.68</v>
      </c>
      <c r="F63" s="12" t="n">
        <v>13.9</v>
      </c>
      <c r="G63" s="12" t="n">
        <v>27.8</v>
      </c>
      <c r="H63" s="12" t="n">
        <v>29</v>
      </c>
      <c r="I63" s="12" t="n">
        <v>99.03</v>
      </c>
      <c r="J63" s="12" t="n">
        <v>143.18</v>
      </c>
      <c r="K63" s="12" t="n">
        <v>7.72</v>
      </c>
      <c r="L63" s="12" t="n">
        <v>82.25</v>
      </c>
      <c r="M63" s="12" t="n">
        <v>229.99</v>
      </c>
      <c r="N63" s="12" t="n">
        <v>6.38</v>
      </c>
      <c r="O63" s="12" t="n">
        <v>23.09</v>
      </c>
      <c r="P63" s="12" t="n">
        <v>28.26</v>
      </c>
      <c r="Q63" s="12" t="n">
        <v>60.43</v>
      </c>
      <c r="R63" s="12" t="n">
        <v>15.3</v>
      </c>
      <c r="S63" s="12" t="n">
        <v>28.6</v>
      </c>
      <c r="T63" s="12" t="n">
        <v>3.67335</v>
      </c>
    </row>
    <row r="64">
      <c r="A64" s="14" t="inlineStr">
        <is>
          <t>2025-10-01</t>
        </is>
      </c>
      <c r="B64" s="9" t="n">
        <v>45.83</v>
      </c>
      <c r="C64" s="9" t="n">
        <v>60.53</v>
      </c>
      <c r="D64" s="9" t="n">
        <v>27.76</v>
      </c>
      <c r="E64" s="9" t="n">
        <v>2.68</v>
      </c>
      <c r="F64" s="9" t="n">
        <v>13.9</v>
      </c>
      <c r="G64" s="9" t="n">
        <v>27.8</v>
      </c>
      <c r="H64" s="9" t="n">
        <v>29</v>
      </c>
      <c r="I64" s="9" t="n">
        <v>99.90000000000001</v>
      </c>
      <c r="J64" s="9" t="n">
        <v>139.14</v>
      </c>
      <c r="K64" s="9" t="n">
        <v>7.31</v>
      </c>
      <c r="L64" s="9" t="n">
        <v>82.43000000000001</v>
      </c>
      <c r="M64" s="9" t="n">
        <v>202.6</v>
      </c>
      <c r="N64" s="9" t="n">
        <v>6.38</v>
      </c>
      <c r="O64" s="9" t="n">
        <v>23.32</v>
      </c>
      <c r="P64" s="9" t="n">
        <v>28.36</v>
      </c>
      <c r="Q64" s="9" t="n">
        <v>59.65</v>
      </c>
      <c r="R64" s="9" t="n">
        <v>15.42</v>
      </c>
      <c r="S64" s="9" t="n">
        <v>24.83</v>
      </c>
      <c r="T64" s="9" t="n">
        <v>3.673225</v>
      </c>
    </row>
    <row r="65">
      <c r="A65" s="15" t="inlineStr">
        <is>
          <t>2025-10-02</t>
        </is>
      </c>
      <c r="B65" s="12" t="n">
        <v>45.64</v>
      </c>
      <c r="C65" s="12" t="n">
        <v>60.78</v>
      </c>
      <c r="D65" s="12" t="n">
        <v>27.76</v>
      </c>
      <c r="E65" s="12" t="n">
        <v>2.68</v>
      </c>
      <c r="F65" s="12" t="n">
        <v>13.9</v>
      </c>
      <c r="G65" s="12" t="n">
        <v>27.8</v>
      </c>
      <c r="H65" s="12" t="n">
        <v>29</v>
      </c>
      <c r="I65" s="12" t="n">
        <v>99.64</v>
      </c>
      <c r="J65" s="12" t="n">
        <v>145.7</v>
      </c>
      <c r="K65" s="12" t="n">
        <v>9.210000000000001</v>
      </c>
      <c r="L65" s="12" t="n">
        <v>83.94</v>
      </c>
      <c r="M65" s="12" t="n">
        <v>200.92</v>
      </c>
      <c r="N65" s="12" t="n">
        <v>6.38</v>
      </c>
      <c r="O65" s="12" t="n">
        <v>23.02</v>
      </c>
      <c r="P65" s="12" t="n">
        <v>28.89</v>
      </c>
      <c r="Q65" s="12" t="n">
        <v>61.01</v>
      </c>
      <c r="R65" s="12" t="n">
        <v>15.82</v>
      </c>
      <c r="S65" s="12" t="n">
        <v>24.69</v>
      </c>
      <c r="T65" s="12" t="n">
        <v>3.67305</v>
      </c>
    </row>
    <row r="66">
      <c r="A66" s="14" t="inlineStr">
        <is>
          <t>2025-10-03</t>
        </is>
      </c>
      <c r="B66" s="9" t="n">
        <v>46.3</v>
      </c>
      <c r="C66" s="9" t="n">
        <v>61.97</v>
      </c>
      <c r="D66" s="9" t="n">
        <v>27.76</v>
      </c>
      <c r="E66" s="9" t="n">
        <v>2.68</v>
      </c>
      <c r="F66" s="9" t="n">
        <v>13.9</v>
      </c>
      <c r="G66" s="9" t="n">
        <v>27.8</v>
      </c>
      <c r="H66" s="9" t="n">
        <v>29</v>
      </c>
      <c r="I66" s="9" t="n">
        <v>99.73999999999999</v>
      </c>
      <c r="J66" s="9" t="n">
        <v>148.67</v>
      </c>
      <c r="K66" s="9" t="n">
        <v>9.91</v>
      </c>
      <c r="L66" s="9" t="n">
        <v>82.81999999999999</v>
      </c>
      <c r="M66" s="9" t="n">
        <v>207.2</v>
      </c>
      <c r="N66" s="9" t="n">
        <v>6.38</v>
      </c>
      <c r="O66" s="9" t="n">
        <v>23.07</v>
      </c>
      <c r="P66" s="9" t="n">
        <v>28.79</v>
      </c>
      <c r="Q66" s="9" t="n">
        <v>59.7</v>
      </c>
      <c r="R66" s="9" t="n">
        <v>16.15</v>
      </c>
      <c r="S66" s="9" t="n">
        <v>24.37</v>
      </c>
      <c r="T66" s="9" t="n">
        <v>3.67305</v>
      </c>
    </row>
    <row r="67">
      <c r="A67" s="15" t="inlineStr">
        <is>
          <t>2025-10-06</t>
        </is>
      </c>
      <c r="B67" s="12" t="n">
        <v>46.87</v>
      </c>
      <c r="C67" s="12" t="n">
        <v>61.67</v>
      </c>
      <c r="D67" s="12" t="n">
        <v>27.76</v>
      </c>
      <c r="E67" s="12" t="n">
        <v>2.68</v>
      </c>
      <c r="F67" s="12" t="n">
        <v>13.9</v>
      </c>
      <c r="G67" s="12" t="n">
        <v>27.8</v>
      </c>
      <c r="H67" s="12" t="n">
        <v>29</v>
      </c>
      <c r="I67" s="12" t="n">
        <v>102.48</v>
      </c>
      <c r="J67" s="12" t="n">
        <v>144.26</v>
      </c>
      <c r="K67" s="12" t="n">
        <v>10.66</v>
      </c>
      <c r="L67" s="12" t="n">
        <v>82.20999999999999</v>
      </c>
      <c r="M67" s="12" t="n">
        <v>203.63</v>
      </c>
      <c r="N67" s="12" t="n">
        <v>6.38</v>
      </c>
      <c r="O67" s="12" t="n">
        <v>23.7</v>
      </c>
      <c r="P67" s="12" t="n">
        <v>28.92</v>
      </c>
      <c r="Q67" s="12" t="n">
        <v>60.82</v>
      </c>
      <c r="R67" s="12" t="n">
        <v>16.08</v>
      </c>
      <c r="S67" s="12" t="n">
        <v>26.17</v>
      </c>
      <c r="T67" s="12" t="n">
        <v>3.67255</v>
      </c>
    </row>
    <row r="68">
      <c r="A68" s="14" t="inlineStr">
        <is>
          <t>2025-10-07</t>
        </is>
      </c>
      <c r="B68" s="9" t="n">
        <v>45.95</v>
      </c>
      <c r="C68" s="9" t="n">
        <v>61.71</v>
      </c>
      <c r="D68" s="9" t="n">
        <v>27.76</v>
      </c>
      <c r="E68" s="9" t="n">
        <v>2.68</v>
      </c>
      <c r="F68" s="9" t="n">
        <v>13.9</v>
      </c>
      <c r="G68" s="9" t="n">
        <v>27.8</v>
      </c>
      <c r="H68" s="9" t="n">
        <v>29</v>
      </c>
      <c r="I68" s="9" t="n">
        <v>100.68</v>
      </c>
      <c r="J68" s="9" t="n">
        <v>145</v>
      </c>
      <c r="K68" s="9" t="n">
        <v>11.09</v>
      </c>
      <c r="L68" s="9" t="n">
        <v>79.5</v>
      </c>
      <c r="M68" s="9" t="n">
        <v>205.92</v>
      </c>
      <c r="N68" s="9" t="n">
        <v>6.38</v>
      </c>
      <c r="O68" s="9" t="n">
        <v>23.4</v>
      </c>
      <c r="P68" s="9" t="n">
        <v>28.16</v>
      </c>
      <c r="Q68" s="9" t="n">
        <v>61.37</v>
      </c>
      <c r="R68" s="9" t="n">
        <v>15.37</v>
      </c>
      <c r="S68" s="9" t="n">
        <v>26.69</v>
      </c>
      <c r="T68" s="9" t="n">
        <v>3.67275</v>
      </c>
    </row>
    <row r="69">
      <c r="A69" s="15" t="inlineStr">
        <is>
          <t>2025-10-08</t>
        </is>
      </c>
      <c r="B69" s="12" t="n">
        <v>46.75</v>
      </c>
      <c r="C69" s="12" t="n">
        <v>64.13</v>
      </c>
      <c r="D69" s="12" t="n">
        <v>27.76</v>
      </c>
      <c r="E69" s="12" t="n">
        <v>2.68</v>
      </c>
      <c r="F69" s="12" t="n">
        <v>13.9</v>
      </c>
      <c r="G69" s="12" t="n">
        <v>27.8</v>
      </c>
      <c r="H69" s="12" t="n">
        <v>29</v>
      </c>
      <c r="I69" s="12" t="n">
        <v>104.81</v>
      </c>
      <c r="J69" s="12" t="n">
        <v>150.87</v>
      </c>
      <c r="K69" s="12" t="n">
        <v>11.26</v>
      </c>
      <c r="L69" s="12" t="n">
        <v>84.25</v>
      </c>
      <c r="M69" s="12" t="n">
        <v>202.29</v>
      </c>
      <c r="N69" s="12" t="n">
        <v>6.38</v>
      </c>
      <c r="O69" s="12" t="n">
        <v>24.84</v>
      </c>
      <c r="P69" s="12" t="n">
        <v>28.91</v>
      </c>
      <c r="Q69" s="12" t="n">
        <v>61.11</v>
      </c>
      <c r="R69" s="12" t="n">
        <v>16.06</v>
      </c>
      <c r="S69" s="12" t="n">
        <v>30.36</v>
      </c>
      <c r="T69" s="12" t="n">
        <v>3.67255</v>
      </c>
    </row>
    <row r="70">
      <c r="A70" s="14" t="inlineStr">
        <is>
          <t>2025-10-09</t>
        </is>
      </c>
      <c r="B70" s="9" t="n">
        <v>46.57</v>
      </c>
      <c r="C70" s="9" t="n">
        <v>63.98</v>
      </c>
      <c r="D70" s="9" t="n">
        <v>27.76</v>
      </c>
      <c r="E70" s="9" t="n">
        <v>2.68</v>
      </c>
      <c r="F70" s="9" t="n">
        <v>13.9</v>
      </c>
      <c r="G70" s="9" t="n">
        <v>27.8</v>
      </c>
      <c r="H70" s="9" t="n">
        <v>29</v>
      </c>
      <c r="I70" s="9" t="n">
        <v>99.89</v>
      </c>
      <c r="J70" s="9" t="n">
        <v>152.46</v>
      </c>
      <c r="K70" s="9" t="n">
        <v>10.49</v>
      </c>
      <c r="L70" s="9" t="n">
        <v>86.09999999999999</v>
      </c>
      <c r="M70" s="9" t="n">
        <v>211.7</v>
      </c>
      <c r="N70" s="9" t="n">
        <v>6.38</v>
      </c>
      <c r="O70" s="9" t="n">
        <v>23.82</v>
      </c>
      <c r="P70" s="9" t="n">
        <v>28.7</v>
      </c>
      <c r="Q70" s="9" t="n">
        <v>61.48</v>
      </c>
      <c r="R70" s="9" t="n">
        <v>15.89</v>
      </c>
      <c r="S70" s="9" t="n">
        <v>35.42</v>
      </c>
      <c r="T70" s="9" t="n">
        <v>3.6726</v>
      </c>
    </row>
    <row r="71">
      <c r="A71" s="15" t="inlineStr">
        <is>
          <t>2025-10-10</t>
        </is>
      </c>
      <c r="B71" s="12" t="n">
        <v>40.78</v>
      </c>
      <c r="C71" s="12" t="n">
        <v>60.46</v>
      </c>
      <c r="D71" s="12" t="n">
        <v>27.76</v>
      </c>
      <c r="E71" s="12" t="n">
        <v>2.68</v>
      </c>
      <c r="F71" s="12" t="n">
        <v>13.9</v>
      </c>
      <c r="G71" s="12" t="n">
        <v>27.8</v>
      </c>
      <c r="H71" s="12" t="n">
        <v>29</v>
      </c>
      <c r="I71" s="12" t="n">
        <v>99.90000000000001</v>
      </c>
      <c r="J71" s="12" t="n">
        <v>138.96</v>
      </c>
      <c r="K71" s="12" t="n">
        <v>9.220000000000001</v>
      </c>
      <c r="L71" s="12" t="n">
        <v>82.34</v>
      </c>
      <c r="M71" s="12" t="n">
        <v>198.55</v>
      </c>
      <c r="N71" s="12" t="n">
        <v>6.38</v>
      </c>
      <c r="O71" s="12" t="n">
        <v>23.46</v>
      </c>
      <c r="P71" s="12" t="n">
        <v>27.11</v>
      </c>
      <c r="Q71" s="12" t="n">
        <v>61.65</v>
      </c>
      <c r="R71" s="12" t="n">
        <v>14.66</v>
      </c>
      <c r="S71" s="12" t="n">
        <v>31.1</v>
      </c>
      <c r="T71" s="12" t="n">
        <v>3.6726</v>
      </c>
    </row>
    <row r="72">
      <c r="A72" s="14" t="inlineStr">
        <is>
          <t>2025-10-13</t>
        </is>
      </c>
      <c r="B72" s="9" t="n">
        <v>43.74</v>
      </c>
      <c r="C72" s="9" t="n">
        <v>64.14</v>
      </c>
      <c r="D72" s="9" t="n">
        <v>27.76</v>
      </c>
      <c r="E72" s="9" t="n">
        <v>2.68</v>
      </c>
      <c r="F72" s="9" t="n">
        <v>13.9</v>
      </c>
      <c r="G72" s="9" t="n">
        <v>27.8</v>
      </c>
      <c r="H72" s="9" t="n">
        <v>29</v>
      </c>
      <c r="I72" s="9" t="n">
        <v>105.14</v>
      </c>
      <c r="J72" s="9" t="n">
        <v>140.68</v>
      </c>
      <c r="K72" s="9" t="n">
        <v>10.81</v>
      </c>
      <c r="L72" s="9" t="n">
        <v>83.19</v>
      </c>
      <c r="M72" s="9" t="n">
        <v>203.68</v>
      </c>
      <c r="N72" s="9" t="n">
        <v>6.38</v>
      </c>
      <c r="O72" s="9" t="n">
        <v>24.97</v>
      </c>
      <c r="P72" s="9" t="n">
        <v>28.8</v>
      </c>
      <c r="Q72" s="9" t="n">
        <v>63.47</v>
      </c>
      <c r="R72" s="9" t="n">
        <v>15.88</v>
      </c>
      <c r="S72" s="9" t="n">
        <v>32.57</v>
      </c>
      <c r="T72" s="9" t="n">
        <v>3.672625</v>
      </c>
    </row>
    <row r="73">
      <c r="A73" s="15" t="inlineStr">
        <is>
          <t>2025-10-14</t>
        </is>
      </c>
      <c r="B73" s="12" t="n">
        <v>45.23</v>
      </c>
      <c r="C73" s="12" t="n">
        <v>62.14</v>
      </c>
      <c r="D73" s="12" t="n">
        <v>27.76</v>
      </c>
      <c r="E73" s="12" t="n">
        <v>2.68</v>
      </c>
      <c r="F73" s="12" t="n">
        <v>13.9</v>
      </c>
      <c r="G73" s="12" t="n">
        <v>27.8</v>
      </c>
      <c r="H73" s="12" t="n">
        <v>29</v>
      </c>
      <c r="I73" s="12" t="n">
        <v>103.62</v>
      </c>
      <c r="J73" s="12" t="n">
        <v>134.95</v>
      </c>
      <c r="K73" s="12" t="n">
        <v>10.41</v>
      </c>
      <c r="L73" s="12" t="n">
        <v>78.17</v>
      </c>
      <c r="M73" s="12" t="n">
        <v>196.35</v>
      </c>
      <c r="N73" s="12" t="n">
        <v>6.38</v>
      </c>
      <c r="O73" s="12" t="n">
        <v>24.78</v>
      </c>
      <c r="P73" s="12" t="n">
        <v>28.33</v>
      </c>
      <c r="Q73" s="12" t="n">
        <v>66.33</v>
      </c>
      <c r="R73" s="12" t="n">
        <v>16.04</v>
      </c>
      <c r="S73" s="12" t="n">
        <v>32.58</v>
      </c>
      <c r="T73" s="12" t="n">
        <v>3.673</v>
      </c>
    </row>
    <row r="74">
      <c r="A74" s="14" t="inlineStr">
        <is>
          <t>2025-10-15</t>
        </is>
      </c>
      <c r="B74" s="9" t="n">
        <v>45.79</v>
      </c>
      <c r="C74" s="9" t="n">
        <v>63.48</v>
      </c>
      <c r="D74" s="9" t="n">
        <v>27.76</v>
      </c>
      <c r="E74" s="9" t="n">
        <v>2.68</v>
      </c>
      <c r="F74" s="9" t="n">
        <v>13.9</v>
      </c>
      <c r="G74" s="9" t="n">
        <v>27.8</v>
      </c>
      <c r="H74" s="9" t="n">
        <v>29</v>
      </c>
      <c r="I74" s="9" t="n">
        <v>108.48</v>
      </c>
      <c r="J74" s="9" t="n">
        <v>134.15</v>
      </c>
      <c r="K74" s="9" t="n">
        <v>9.51</v>
      </c>
      <c r="L74" s="9" t="n">
        <v>79.06</v>
      </c>
      <c r="M74" s="9" t="n">
        <v>200.76</v>
      </c>
      <c r="N74" s="9" t="n">
        <v>6.38</v>
      </c>
      <c r="O74" s="9" t="n">
        <v>26.08</v>
      </c>
      <c r="P74" s="9" t="n">
        <v>28.97</v>
      </c>
      <c r="Q74" s="9" t="n">
        <v>66.18000000000001</v>
      </c>
      <c r="R74" s="9" t="n">
        <v>16.97</v>
      </c>
      <c r="S74" s="9" t="n">
        <v>32.43</v>
      </c>
      <c r="T74" s="9" t="n">
        <v>3.672875</v>
      </c>
    </row>
    <row r="75">
      <c r="A75" s="15" t="inlineStr">
        <is>
          <t>2025-10-16</t>
        </is>
      </c>
      <c r="B75" s="12" t="n">
        <v>46.32</v>
      </c>
      <c r="C75" s="12" t="n">
        <v>62.62</v>
      </c>
      <c r="D75" s="12" t="n">
        <v>27.76</v>
      </c>
      <c r="E75" s="12" t="n">
        <v>2.68</v>
      </c>
      <c r="F75" s="12" t="n">
        <v>13.9</v>
      </c>
      <c r="G75" s="12" t="n">
        <v>27.8</v>
      </c>
      <c r="H75" s="12" t="n">
        <v>29</v>
      </c>
      <c r="I75" s="12" t="n">
        <v>111.7</v>
      </c>
      <c r="J75" s="12" t="n">
        <v>131.44</v>
      </c>
      <c r="K75" s="12" t="n">
        <v>8.199999999999999</v>
      </c>
      <c r="L75" s="12" t="n">
        <v>78.64</v>
      </c>
      <c r="M75" s="12" t="n">
        <v>198.97</v>
      </c>
      <c r="N75" s="12" t="n">
        <v>6.38</v>
      </c>
      <c r="O75" s="12" t="n">
        <v>26.91</v>
      </c>
      <c r="P75" s="12" t="n">
        <v>29.34</v>
      </c>
      <c r="Q75" s="12" t="n">
        <v>63.37</v>
      </c>
      <c r="R75" s="12" t="n">
        <v>16.92</v>
      </c>
      <c r="S75" s="12" t="n">
        <v>32.44</v>
      </c>
      <c r="T75" s="12" t="n">
        <v>3.673025</v>
      </c>
    </row>
    <row r="76">
      <c r="A76" s="14" t="inlineStr">
        <is>
          <t>2025-10-17</t>
        </is>
      </c>
      <c r="B76" s="9" t="n">
        <v>46.04</v>
      </c>
      <c r="C76" s="9" t="n">
        <v>61.11</v>
      </c>
      <c r="D76" s="9" t="n">
        <v>27.76</v>
      </c>
      <c r="E76" s="9" t="n">
        <v>2.68</v>
      </c>
      <c r="F76" s="9" t="n">
        <v>13.9</v>
      </c>
      <c r="G76" s="9" t="n">
        <v>27.8</v>
      </c>
      <c r="H76" s="9" t="n">
        <v>29</v>
      </c>
      <c r="I76" s="9" t="n">
        <v>103.11</v>
      </c>
      <c r="J76" s="9" t="n">
        <v>129.91</v>
      </c>
      <c r="K76" s="9" t="n">
        <v>7.61</v>
      </c>
      <c r="L76" s="9" t="n">
        <v>77.22</v>
      </c>
      <c r="M76" s="9" t="n">
        <v>194.95</v>
      </c>
      <c r="N76" s="9" t="n">
        <v>6.38</v>
      </c>
      <c r="O76" s="9" t="n">
        <v>24.84</v>
      </c>
      <c r="P76" s="9" t="n">
        <v>29.25</v>
      </c>
      <c r="Q76" s="9" t="n">
        <v>59.59</v>
      </c>
      <c r="R76" s="9" t="n">
        <v>16.49</v>
      </c>
      <c r="S76" s="9" t="n">
        <v>31</v>
      </c>
      <c r="T76" s="9" t="n">
        <v>3.673025</v>
      </c>
    </row>
    <row r="77">
      <c r="A77" s="15" t="inlineStr">
        <is>
          <t>2025-10-20</t>
        </is>
      </c>
      <c r="B77" s="12" t="n">
        <v>47.31</v>
      </c>
      <c r="C77" s="12" t="n">
        <v>62.31</v>
      </c>
      <c r="D77" s="12" t="n">
        <v>27.76</v>
      </c>
      <c r="E77" s="12" t="n">
        <v>2.68</v>
      </c>
      <c r="F77" s="12" t="n">
        <v>13.9</v>
      </c>
      <c r="G77" s="12" t="n">
        <v>27.8</v>
      </c>
      <c r="H77" s="12" t="n">
        <v>29</v>
      </c>
      <c r="I77" s="12" t="n">
        <v>106.13</v>
      </c>
      <c r="J77" s="12" t="n">
        <v>135.8</v>
      </c>
      <c r="K77" s="12" t="n">
        <v>7.77</v>
      </c>
      <c r="L77" s="12" t="n">
        <v>78.81</v>
      </c>
      <c r="M77" s="12" t="n">
        <v>202.48</v>
      </c>
      <c r="N77" s="12" t="n">
        <v>6.38</v>
      </c>
      <c r="O77" s="12" t="n">
        <v>25.54</v>
      </c>
      <c r="P77" s="12" t="n">
        <v>30.21</v>
      </c>
      <c r="Q77" s="12" t="n">
        <v>59.22</v>
      </c>
      <c r="R77" s="12" t="n">
        <v>17.5</v>
      </c>
      <c r="S77" s="12" t="n">
        <v>30</v>
      </c>
      <c r="T77" s="12" t="n">
        <v>3.673725</v>
      </c>
    </row>
    <row r="78">
      <c r="A78" s="14" t="inlineStr">
        <is>
          <t>2025-10-21</t>
        </is>
      </c>
      <c r="B78" s="9" t="n">
        <v>48.27</v>
      </c>
      <c r="C78" s="9" t="n">
        <v>59.3</v>
      </c>
      <c r="D78" s="9" t="n">
        <v>27.76</v>
      </c>
      <c r="E78" s="9" t="n">
        <v>2.68</v>
      </c>
      <c r="F78" s="9" t="n">
        <v>13.9</v>
      </c>
      <c r="G78" s="9" t="n">
        <v>27.8</v>
      </c>
      <c r="H78" s="9" t="n">
        <v>29</v>
      </c>
      <c r="I78" s="9" t="n">
        <v>95.11</v>
      </c>
      <c r="J78" s="9" t="n">
        <v>131.84</v>
      </c>
      <c r="K78" s="9" t="n">
        <v>7.19</v>
      </c>
      <c r="L78" s="9" t="n">
        <v>79.88</v>
      </c>
      <c r="M78" s="9" t="n">
        <v>205.71</v>
      </c>
      <c r="N78" s="9" t="n">
        <v>6.38</v>
      </c>
      <c r="O78" s="9" t="n">
        <v>22.65</v>
      </c>
      <c r="P78" s="9" t="n">
        <v>30.54</v>
      </c>
      <c r="Q78" s="9" t="n">
        <v>56.28</v>
      </c>
      <c r="R78" s="9" t="n">
        <v>17.22</v>
      </c>
      <c r="S78" s="9" t="n">
        <v>30.08</v>
      </c>
      <c r="T78" s="9" t="n">
        <v>3.672775</v>
      </c>
    </row>
    <row r="79">
      <c r="A79" s="15" t="inlineStr">
        <is>
          <t>2025-10-22</t>
        </is>
      </c>
      <c r="B79" s="12" t="n">
        <v>46.29</v>
      </c>
      <c r="C79" s="12" t="n">
        <v>59.04</v>
      </c>
      <c r="D79" s="12" t="n">
        <v>27.76</v>
      </c>
      <c r="E79" s="12" t="n">
        <v>2.68</v>
      </c>
      <c r="F79" s="12" t="n">
        <v>13.9</v>
      </c>
      <c r="G79" s="12" t="n">
        <v>27.8</v>
      </c>
      <c r="H79" s="12" t="n">
        <v>29</v>
      </c>
      <c r="I79" s="12" t="n">
        <v>95</v>
      </c>
      <c r="J79" s="12" t="n">
        <v>127.22</v>
      </c>
      <c r="K79" s="12" t="n">
        <v>6.74</v>
      </c>
      <c r="L79" s="12" t="n">
        <v>76.84999999999999</v>
      </c>
      <c r="M79" s="12" t="n">
        <v>197.05</v>
      </c>
      <c r="N79" s="12" t="n">
        <v>6.38</v>
      </c>
      <c r="O79" s="12" t="n">
        <v>22.84</v>
      </c>
      <c r="P79" s="12" t="n">
        <v>29.12</v>
      </c>
      <c r="Q79" s="12" t="n">
        <v>58.09</v>
      </c>
      <c r="R79" s="12" t="n">
        <v>16.63</v>
      </c>
      <c r="S79" s="12" t="n">
        <v>29.48</v>
      </c>
      <c r="T79" s="12" t="n">
        <v>3.6726</v>
      </c>
    </row>
    <row r="80">
      <c r="A80" s="14" t="inlineStr">
        <is>
          <t>2025-10-23</t>
        </is>
      </c>
      <c r="B80" s="9" t="n">
        <v>48.04</v>
      </c>
      <c r="C80" s="9" t="n">
        <v>60.21</v>
      </c>
      <c r="D80" s="9" t="n">
        <v>27.76</v>
      </c>
      <c r="E80" s="9" t="n">
        <v>2.68</v>
      </c>
      <c r="F80" s="9" t="n">
        <v>13.9</v>
      </c>
      <c r="G80" s="9" t="n">
        <v>27.8</v>
      </c>
      <c r="H80" s="9" t="n">
        <v>29</v>
      </c>
      <c r="I80" s="9" t="n">
        <v>96.06999999999999</v>
      </c>
      <c r="J80" s="9" t="n">
        <v>134.33</v>
      </c>
      <c r="K80" s="9" t="n">
        <v>7.06</v>
      </c>
      <c r="L80" s="9" t="n">
        <v>76.86</v>
      </c>
      <c r="M80" s="9" t="n">
        <v>200.82</v>
      </c>
      <c r="N80" s="9" t="n">
        <v>6.38</v>
      </c>
      <c r="O80" s="9" t="n">
        <v>22.97</v>
      </c>
      <c r="P80" s="9" t="n">
        <v>25.26</v>
      </c>
      <c r="Q80" s="9" t="n">
        <v>57.39</v>
      </c>
      <c r="R80" s="9" t="n">
        <v>16.93</v>
      </c>
      <c r="S80" s="9" t="n">
        <v>29.59</v>
      </c>
      <c r="T80" s="9" t="n">
        <v>3.6737</v>
      </c>
    </row>
    <row r="81">
      <c r="A81" s="15" t="inlineStr">
        <is>
          <t>2025-10-24</t>
        </is>
      </c>
      <c r="B81" s="12" t="n">
        <v>48.35</v>
      </c>
      <c r="C81" s="12" t="n">
        <v>60.86</v>
      </c>
      <c r="D81" s="12" t="n">
        <v>27.76</v>
      </c>
      <c r="E81" s="12" t="n">
        <v>2.68</v>
      </c>
      <c r="F81" s="12" t="n">
        <v>13.9</v>
      </c>
      <c r="G81" s="12" t="n">
        <v>27.8</v>
      </c>
      <c r="H81" s="12" t="n">
        <v>29</v>
      </c>
      <c r="I81" s="12" t="n">
        <v>94.87</v>
      </c>
      <c r="J81" s="12" t="n">
        <v>139.79</v>
      </c>
      <c r="K81" s="12" t="n">
        <v>7.46</v>
      </c>
      <c r="L81" s="12" t="n">
        <v>76.98999999999999</v>
      </c>
      <c r="M81" s="12" t="n">
        <v>214.2</v>
      </c>
      <c r="N81" s="12" t="n">
        <v>6.38</v>
      </c>
      <c r="O81" s="12" t="n">
        <v>22.84</v>
      </c>
      <c r="P81" s="12" t="n">
        <v>24.86</v>
      </c>
      <c r="Q81" s="12" t="n">
        <v>58.79</v>
      </c>
      <c r="R81" s="12" t="n">
        <v>16.84</v>
      </c>
      <c r="S81" s="12" t="n">
        <v>29.57</v>
      </c>
      <c r="T81" s="12" t="n">
        <v>3.6737</v>
      </c>
    </row>
    <row r="82">
      <c r="A82" s="14" t="inlineStr">
        <is>
          <t>2025-10-27</t>
        </is>
      </c>
      <c r="B82" s="9" t="n">
        <v>48.28</v>
      </c>
      <c r="C82" s="9" t="n">
        <v>61.03</v>
      </c>
      <c r="D82" s="9" t="n">
        <v>27.76</v>
      </c>
      <c r="E82" s="9" t="n">
        <v>2.68</v>
      </c>
      <c r="F82" s="9" t="n">
        <v>13.9</v>
      </c>
      <c r="G82" s="9" t="n">
        <v>27.8</v>
      </c>
      <c r="H82" s="9" t="n">
        <v>29</v>
      </c>
      <c r="I82" s="9" t="n">
        <v>91.29000000000001</v>
      </c>
      <c r="J82" s="9" t="n">
        <v>145.86</v>
      </c>
      <c r="K82" s="9" t="n">
        <v>7.53</v>
      </c>
      <c r="L82" s="9" t="n">
        <v>77.79000000000001</v>
      </c>
      <c r="M82" s="9" t="n">
        <v>219.24</v>
      </c>
      <c r="N82" s="9" t="n">
        <v>6.38</v>
      </c>
      <c r="O82" s="9" t="n">
        <v>22.04</v>
      </c>
      <c r="P82" s="9" t="n">
        <v>25.47</v>
      </c>
      <c r="Q82" s="9" t="n">
        <v>57.3</v>
      </c>
      <c r="R82" s="9" t="n">
        <v>17.34</v>
      </c>
      <c r="S82" s="9" t="n">
        <v>30.89</v>
      </c>
      <c r="T82" s="9" t="n">
        <v>3.672975</v>
      </c>
    </row>
    <row r="83">
      <c r="A83" s="15" t="inlineStr">
        <is>
          <t>2025-10-28</t>
        </is>
      </c>
      <c r="B83" s="12" t="n">
        <v>47.29</v>
      </c>
      <c r="C83" s="12" t="n">
        <v>61.84</v>
      </c>
      <c r="D83" s="12" t="n">
        <v>27.76</v>
      </c>
      <c r="E83" s="12" t="n">
        <v>2.68</v>
      </c>
      <c r="F83" s="12" t="n">
        <v>13.9</v>
      </c>
      <c r="G83" s="12" t="n">
        <v>27.8</v>
      </c>
      <c r="H83" s="12" t="n">
        <v>29</v>
      </c>
      <c r="I83" s="12" t="n">
        <v>92.95</v>
      </c>
      <c r="J83" s="12" t="n">
        <v>146.25</v>
      </c>
      <c r="K83" s="12" t="n">
        <v>6.79</v>
      </c>
      <c r="L83" s="12" t="n">
        <v>76.12</v>
      </c>
      <c r="M83" s="12" t="n">
        <v>212.97</v>
      </c>
      <c r="N83" s="12" t="n">
        <v>6.38</v>
      </c>
      <c r="O83" s="12" t="n">
        <v>22.53</v>
      </c>
      <c r="P83" s="12" t="n">
        <v>25.21</v>
      </c>
      <c r="Q83" s="12" t="n">
        <v>63.01</v>
      </c>
      <c r="R83" s="12" t="n">
        <v>17.49</v>
      </c>
      <c r="S83" s="12" t="n">
        <v>30.76</v>
      </c>
      <c r="T83" s="12" t="n">
        <v>3.67295</v>
      </c>
    </row>
    <row r="84">
      <c r="A84" s="14" t="inlineStr">
        <is>
          <t>2025-10-29</t>
        </is>
      </c>
      <c r="B84" s="9" t="n">
        <v>47.44</v>
      </c>
      <c r="C84" s="9" t="n">
        <v>62.84</v>
      </c>
      <c r="D84" s="9" t="n">
        <v>27.76</v>
      </c>
      <c r="E84" s="9" t="n">
        <v>2.68</v>
      </c>
      <c r="F84" s="9" t="n">
        <v>13.9</v>
      </c>
      <c r="G84" s="9" t="n">
        <v>27.8</v>
      </c>
      <c r="H84" s="9" t="n">
        <v>29</v>
      </c>
      <c r="I84" s="9" t="n">
        <v>92.75</v>
      </c>
      <c r="J84" s="9" t="n">
        <v>144.8</v>
      </c>
      <c r="K84" s="9" t="n">
        <v>6.75</v>
      </c>
      <c r="L84" s="9" t="n">
        <v>71.92</v>
      </c>
      <c r="M84" s="9" t="n">
        <v>210.77</v>
      </c>
      <c r="N84" s="9" t="n">
        <v>6.38</v>
      </c>
      <c r="O84" s="9" t="n">
        <v>22.52</v>
      </c>
      <c r="P84" s="9" t="n">
        <v>24.68</v>
      </c>
      <c r="Q84" s="9" t="n">
        <v>64.12</v>
      </c>
      <c r="R84" s="9" t="n">
        <v>17.28</v>
      </c>
      <c r="S84" s="9" t="n">
        <v>31.99</v>
      </c>
      <c r="T84" s="9" t="n">
        <v>3.672925</v>
      </c>
    </row>
    <row r="85">
      <c r="A85" s="15" t="inlineStr">
        <is>
          <t>2025-10-30</t>
        </is>
      </c>
      <c r="B85" s="12" t="n">
        <v>41.31</v>
      </c>
      <c r="C85" s="12" t="n">
        <v>62.11</v>
      </c>
      <c r="D85" s="12" t="n">
        <v>27.76</v>
      </c>
      <c r="E85" s="12" t="n">
        <v>2.68</v>
      </c>
      <c r="F85" s="12" t="n">
        <v>13.9</v>
      </c>
      <c r="G85" s="12" t="n">
        <v>27.8</v>
      </c>
      <c r="H85" s="12" t="n">
        <v>29</v>
      </c>
      <c r="I85" s="12" t="n">
        <v>94.93000000000001</v>
      </c>
      <c r="J85" s="12" t="n">
        <v>138.07</v>
      </c>
      <c r="K85" s="12" t="n">
        <v>6.29</v>
      </c>
      <c r="L85" s="12" t="n">
        <v>71.05</v>
      </c>
      <c r="M85" s="12" t="n">
        <v>194.42</v>
      </c>
      <c r="N85" s="12" t="n">
        <v>6.38</v>
      </c>
      <c r="O85" s="12" t="n">
        <v>22.95</v>
      </c>
      <c r="P85" s="12" t="n">
        <v>24.45</v>
      </c>
      <c r="Q85" s="12" t="n">
        <v>65.73</v>
      </c>
      <c r="R85" s="12" t="n">
        <v>16.88</v>
      </c>
      <c r="S85" s="12" t="n">
        <v>26.16</v>
      </c>
      <c r="T85" s="12" t="n">
        <v>3.6734</v>
      </c>
    </row>
    <row r="86">
      <c r="A86" s="14" t="inlineStr">
        <is>
          <t>2025-10-31</t>
        </is>
      </c>
      <c r="B86" s="9" t="n">
        <v>41.39</v>
      </c>
      <c r="C86" s="9" t="n">
        <v>61.76</v>
      </c>
      <c r="D86" s="9" t="n">
        <v>27.76</v>
      </c>
      <c r="E86" s="9" t="n">
        <v>2.68</v>
      </c>
      <c r="F86" s="9" t="n">
        <v>13.9</v>
      </c>
      <c r="G86" s="9" t="n">
        <v>27.8</v>
      </c>
      <c r="H86" s="9" t="n">
        <v>29</v>
      </c>
      <c r="I86" s="9" t="n">
        <v>93.67</v>
      </c>
      <c r="J86" s="9" t="n">
        <v>146.78</v>
      </c>
      <c r="K86" s="9" t="n">
        <v>6.44</v>
      </c>
      <c r="L86" s="9" t="n">
        <v>75.27</v>
      </c>
      <c r="M86" s="9" t="n">
        <v>208.95</v>
      </c>
      <c r="N86" s="9" t="n">
        <v>6.38</v>
      </c>
      <c r="O86" s="9" t="n">
        <v>22.6</v>
      </c>
      <c r="P86" s="9" t="n">
        <v>24.47</v>
      </c>
      <c r="Q86" s="9" t="n">
        <v>64.37</v>
      </c>
      <c r="R86" s="9" t="n">
        <v>16.98</v>
      </c>
      <c r="S86" s="9" t="n">
        <v>26.32</v>
      </c>
      <c r="T86" s="9" t="n">
        <v>3.6734</v>
      </c>
    </row>
    <row r="87">
      <c r="A87" s="15" t="inlineStr">
        <is>
          <t>2025-11-03</t>
        </is>
      </c>
      <c r="B87" s="12" t="n">
        <v>41.7</v>
      </c>
      <c r="C87" s="12" t="n">
        <v>60.21</v>
      </c>
      <c r="D87" s="12" t="n">
        <v>27.76</v>
      </c>
      <c r="E87" s="12" t="n">
        <v>2.68</v>
      </c>
      <c r="F87" s="12" t="n">
        <v>13.9</v>
      </c>
      <c r="G87" s="12" t="n">
        <v>27.8</v>
      </c>
      <c r="H87" s="12" t="n">
        <v>29</v>
      </c>
      <c r="I87" s="12" t="n">
        <v>92.08</v>
      </c>
      <c r="J87" s="12" t="n">
        <v>147.08</v>
      </c>
      <c r="K87" s="12" t="n">
        <v>6.15</v>
      </c>
      <c r="L87" s="12" t="n">
        <v>75.8</v>
      </c>
      <c r="M87" s="12" t="n">
        <v>204.98</v>
      </c>
      <c r="N87" s="12" t="n">
        <v>6.38</v>
      </c>
      <c r="O87" s="12" t="n">
        <v>22.06</v>
      </c>
      <c r="P87" s="12" t="n">
        <v>24.4</v>
      </c>
      <c r="Q87" s="12" t="n">
        <v>60.78</v>
      </c>
      <c r="R87" s="12" t="n">
        <v>16.78</v>
      </c>
      <c r="S87" s="12" t="n">
        <v>23.76</v>
      </c>
      <c r="T87" s="12" t="n">
        <v>3.6732</v>
      </c>
    </row>
    <row r="88">
      <c r="A88" s="14" t="inlineStr">
        <is>
          <t>2025-11-04</t>
        </is>
      </c>
      <c r="B88" s="9" t="n">
        <v>40</v>
      </c>
      <c r="C88" s="9" t="n">
        <v>57.93</v>
      </c>
      <c r="D88" s="9" t="n">
        <v>27.76</v>
      </c>
      <c r="E88" s="9" t="n">
        <v>2.68</v>
      </c>
      <c r="F88" s="9" t="n">
        <v>13.9</v>
      </c>
      <c r="G88" s="9" t="n">
        <v>27.8</v>
      </c>
      <c r="H88" s="9" t="n">
        <v>29</v>
      </c>
      <c r="I88" s="9" t="n">
        <v>87.56</v>
      </c>
      <c r="J88" s="9" t="n">
        <v>136.8</v>
      </c>
      <c r="K88" s="9" t="n">
        <v>5.96</v>
      </c>
      <c r="L88" s="9" t="n">
        <v>72.59999999999999</v>
      </c>
      <c r="M88" s="9" t="n">
        <v>187.77</v>
      </c>
      <c r="N88" s="9" t="n">
        <v>6.38</v>
      </c>
      <c r="O88" s="9" t="n">
        <v>20.81</v>
      </c>
      <c r="P88" s="9" t="n">
        <v>23.42</v>
      </c>
      <c r="Q88" s="9" t="n">
        <v>58.34</v>
      </c>
      <c r="R88" s="9" t="n">
        <v>16.1</v>
      </c>
      <c r="S88" s="9" t="n">
        <v>21.9</v>
      </c>
      <c r="T88" s="9" t="n">
        <v>3.673075</v>
      </c>
    </row>
    <row r="89">
      <c r="A89" s="15" t="inlineStr">
        <is>
          <t>2025-11-05</t>
        </is>
      </c>
      <c r="B89" s="12" t="n">
        <v>40.5</v>
      </c>
      <c r="C89" s="12" t="n">
        <v>59.3</v>
      </c>
      <c r="D89" s="12" t="n">
        <v>27.76</v>
      </c>
      <c r="E89" s="12" t="n">
        <v>2.68</v>
      </c>
      <c r="F89" s="12" t="n">
        <v>13.9</v>
      </c>
      <c r="G89" s="12" t="n">
        <v>27.8</v>
      </c>
      <c r="H89" s="12" t="n">
        <v>29</v>
      </c>
      <c r="I89" s="12" t="n">
        <v>90.01000000000001</v>
      </c>
      <c r="J89" s="12" t="n">
        <v>142.48</v>
      </c>
      <c r="K89" s="12" t="n">
        <v>6</v>
      </c>
      <c r="L89" s="12" t="n">
        <v>72.34999999999999</v>
      </c>
      <c r="M89" s="12" t="n">
        <v>196.27</v>
      </c>
      <c r="N89" s="12" t="n">
        <v>6.38</v>
      </c>
      <c r="O89" s="12" t="n">
        <v>20.76</v>
      </c>
      <c r="P89" s="12" t="n">
        <v>24</v>
      </c>
      <c r="Q89" s="12" t="n">
        <v>57.36</v>
      </c>
      <c r="R89" s="12" t="n">
        <v>15.32</v>
      </c>
      <c r="S89" s="12" t="n">
        <v>20.25</v>
      </c>
      <c r="T89" s="12" t="n">
        <v>3.6728</v>
      </c>
    </row>
    <row r="90">
      <c r="A90" s="14" t="inlineStr">
        <is>
          <t>2025-11-06</t>
        </is>
      </c>
      <c r="B90" s="9" t="n">
        <v>39.54</v>
      </c>
      <c r="C90" s="9" t="n">
        <v>60.04</v>
      </c>
      <c r="D90" s="9" t="n">
        <v>27.76</v>
      </c>
      <c r="E90" s="9" t="n">
        <v>2.68</v>
      </c>
      <c r="F90" s="9" t="n">
        <v>13.9</v>
      </c>
      <c r="G90" s="9" t="n">
        <v>27.8</v>
      </c>
      <c r="H90" s="9" t="n">
        <v>29</v>
      </c>
      <c r="I90" s="9" t="n">
        <v>90.34999999999999</v>
      </c>
      <c r="J90" s="9" t="n">
        <v>127.08</v>
      </c>
      <c r="K90" s="9" t="n">
        <v>5.25</v>
      </c>
      <c r="L90" s="9" t="n">
        <v>71.53</v>
      </c>
      <c r="M90" s="9" t="n">
        <v>183.64</v>
      </c>
      <c r="N90" s="9" t="n">
        <v>6.38</v>
      </c>
      <c r="O90" s="9" t="n">
        <v>21.2</v>
      </c>
      <c r="P90" s="9" t="n">
        <v>23.64</v>
      </c>
      <c r="Q90" s="9" t="n">
        <v>54.96</v>
      </c>
      <c r="R90" s="9" t="n">
        <v>14.58</v>
      </c>
      <c r="S90" s="9" t="n">
        <v>18.65</v>
      </c>
      <c r="T90" s="9" t="n">
        <v>3.673475</v>
      </c>
    </row>
    <row r="91">
      <c r="A91" s="15" t="inlineStr">
        <is>
          <t>2025-11-07</t>
        </is>
      </c>
      <c r="B91" s="12" t="n">
        <v>39.27</v>
      </c>
      <c r="C91" s="12" t="n">
        <v>60.87</v>
      </c>
      <c r="D91" s="12" t="n">
        <v>27.76</v>
      </c>
      <c r="E91" s="12" t="n">
        <v>2.68</v>
      </c>
      <c r="F91" s="12" t="n">
        <v>13.9</v>
      </c>
      <c r="G91" s="12" t="n">
        <v>27.8</v>
      </c>
      <c r="H91" s="12" t="n">
        <v>29</v>
      </c>
      <c r="I91" s="12" t="n">
        <v>93.03</v>
      </c>
      <c r="J91" s="12" t="n">
        <v>130.36</v>
      </c>
      <c r="K91" s="12" t="n">
        <v>5.81</v>
      </c>
      <c r="L91" s="12" t="n">
        <v>73.03</v>
      </c>
      <c r="M91" s="12" t="n">
        <v>194.58</v>
      </c>
      <c r="N91" s="12" t="n">
        <v>6.38</v>
      </c>
      <c r="O91" s="12" t="n">
        <v>21.74</v>
      </c>
      <c r="P91" s="12" t="n">
        <v>23.53</v>
      </c>
      <c r="Q91" s="12" t="n">
        <v>55.68</v>
      </c>
      <c r="R91" s="12" t="n">
        <v>14.37</v>
      </c>
      <c r="S91" s="12" t="n">
        <v>17.95</v>
      </c>
      <c r="T91" s="12" t="n">
        <v>3.673475</v>
      </c>
    </row>
    <row r="92">
      <c r="A92" s="14" t="inlineStr">
        <is>
          <t>2025-11-10</t>
        </is>
      </c>
      <c r="B92" s="9" t="n">
        <v>38.58</v>
      </c>
      <c r="C92" s="9" t="n">
        <v>62.53</v>
      </c>
      <c r="D92" s="9" t="n">
        <v>27.76</v>
      </c>
      <c r="E92" s="9" t="n">
        <v>2.68</v>
      </c>
      <c r="F92" s="9" t="n">
        <v>13.9</v>
      </c>
      <c r="G92" s="9" t="n">
        <v>27.8</v>
      </c>
      <c r="H92" s="9" t="n">
        <v>29</v>
      </c>
      <c r="I92" s="9" t="n">
        <v>97.67</v>
      </c>
      <c r="J92" s="9" t="n">
        <v>135.88</v>
      </c>
      <c r="K92" s="9" t="n">
        <v>5.88</v>
      </c>
      <c r="L92" s="9" t="n">
        <v>76.06999999999999</v>
      </c>
      <c r="M92" s="9" t="n">
        <v>204.19</v>
      </c>
      <c r="N92" s="9" t="n">
        <v>6.38</v>
      </c>
      <c r="O92" s="9" t="n">
        <v>22.91</v>
      </c>
      <c r="P92" s="9" t="n">
        <v>23.73</v>
      </c>
      <c r="Q92" s="9" t="n">
        <v>58.42</v>
      </c>
      <c r="R92" s="9" t="n">
        <v>14.68</v>
      </c>
      <c r="S92" s="9" t="n">
        <v>17.88</v>
      </c>
      <c r="T92" s="9" t="n">
        <v>3.67275</v>
      </c>
    </row>
    <row r="93">
      <c r="A93" s="15" t="inlineStr">
        <is>
          <t>2025-11-11</t>
        </is>
      </c>
      <c r="B93" s="12" t="n">
        <v>38.4</v>
      </c>
      <c r="C93" s="12" t="n">
        <v>62</v>
      </c>
      <c r="D93" s="12" t="n">
        <v>27.76</v>
      </c>
      <c r="E93" s="12" t="n">
        <v>2.68</v>
      </c>
      <c r="F93" s="12" t="n">
        <v>13.9</v>
      </c>
      <c r="G93" s="12" t="n">
        <v>27.8</v>
      </c>
      <c r="H93" s="12" t="n">
        <v>29</v>
      </c>
      <c r="I93" s="12" t="n">
        <v>98.04000000000001</v>
      </c>
      <c r="J93" s="12" t="n">
        <v>131.93</v>
      </c>
      <c r="K93" s="12" t="n">
        <v>5.8</v>
      </c>
      <c r="L93" s="12" t="n">
        <v>75.63</v>
      </c>
      <c r="M93" s="12" t="n">
        <v>208.21</v>
      </c>
      <c r="N93" s="12" t="n">
        <v>6.38</v>
      </c>
      <c r="O93" s="12" t="n">
        <v>22.93</v>
      </c>
      <c r="P93" s="12" t="n">
        <v>23.7</v>
      </c>
      <c r="Q93" s="12" t="n">
        <v>56.96</v>
      </c>
      <c r="R93" s="12" t="n">
        <v>14.23</v>
      </c>
      <c r="S93" s="12" t="n">
        <v>17.4</v>
      </c>
      <c r="T93" s="12" t="n">
        <v>3.673075</v>
      </c>
    </row>
    <row r="94">
      <c r="A94" s="14" t="inlineStr">
        <is>
          <t>2025-11-12</t>
        </is>
      </c>
      <c r="B94" s="9" t="n">
        <v>38.18</v>
      </c>
      <c r="C94" s="9" t="n">
        <v>63.32</v>
      </c>
      <c r="D94" s="9" t="n">
        <v>27.76</v>
      </c>
      <c r="E94" s="9" t="n">
        <v>2.63</v>
      </c>
      <c r="F94" s="9" t="n">
        <v>13.8</v>
      </c>
      <c r="G94" s="9" t="n">
        <v>27.5</v>
      </c>
      <c r="H94" s="9" t="n">
        <v>29</v>
      </c>
      <c r="I94" s="9" t="n">
        <v>101.44</v>
      </c>
      <c r="J94" s="9" t="n">
        <v>132.98</v>
      </c>
      <c r="K94" s="9" t="n">
        <v>5.51</v>
      </c>
      <c r="L94" s="9" t="n">
        <v>73.95</v>
      </c>
      <c r="M94" s="9" t="n">
        <v>202.82</v>
      </c>
      <c r="N94" s="9" t="n">
        <v>6.25</v>
      </c>
      <c r="O94" s="9" t="n">
        <v>23.87</v>
      </c>
      <c r="P94" s="9" t="n">
        <v>24</v>
      </c>
      <c r="Q94" s="9" t="n">
        <v>56.98</v>
      </c>
      <c r="R94" s="9" t="n">
        <v>14.19</v>
      </c>
      <c r="S94" s="9" t="n">
        <v>19.55</v>
      </c>
      <c r="T94" s="9" t="n">
        <v>3.67315</v>
      </c>
    </row>
    <row r="95">
      <c r="A95" s="15" t="inlineStr">
        <is>
          <t>2025-11-13</t>
        </is>
      </c>
      <c r="B95" s="12" t="n">
        <v>37.05</v>
      </c>
      <c r="C95" s="12" t="n">
        <v>61.74</v>
      </c>
      <c r="D95" s="12" t="n">
        <v>27.76</v>
      </c>
      <c r="E95" s="12" t="n">
        <v>2.63</v>
      </c>
      <c r="F95" s="12" t="n">
        <v>13.8</v>
      </c>
      <c r="G95" s="12" t="n">
        <v>26.2</v>
      </c>
      <c r="H95" s="12" t="n">
        <v>29</v>
      </c>
      <c r="I95" s="12" t="n">
        <v>98.59</v>
      </c>
      <c r="J95" s="12" t="n">
        <v>121.53</v>
      </c>
      <c r="K95" s="12" t="n">
        <v>6.56</v>
      </c>
      <c r="L95" s="12" t="n">
        <v>70.51000000000001</v>
      </c>
      <c r="M95" s="12" t="n">
        <v>189.42</v>
      </c>
      <c r="N95" s="12" t="n">
        <v>6.13</v>
      </c>
      <c r="O95" s="12" t="n">
        <v>23.19</v>
      </c>
      <c r="P95" s="12" t="n">
        <v>23.78</v>
      </c>
      <c r="Q95" s="12" t="n">
        <v>54.69</v>
      </c>
      <c r="R95" s="12" t="n">
        <v>13.62</v>
      </c>
      <c r="S95" s="12" t="n">
        <v>18.19</v>
      </c>
      <c r="T95" s="12" t="n">
        <v>3.67275</v>
      </c>
    </row>
    <row r="96">
      <c r="A96" s="14" t="inlineStr">
        <is>
          <t>2025-11-14</t>
        </is>
      </c>
      <c r="B96" s="9" t="n">
        <v>36.77</v>
      </c>
      <c r="C96" s="9" t="n">
        <v>61.15</v>
      </c>
      <c r="D96" s="9" t="n">
        <v>27.76</v>
      </c>
      <c r="E96" s="9" t="n">
        <v>2.62</v>
      </c>
      <c r="F96" s="9" t="n">
        <v>13.8</v>
      </c>
      <c r="G96" s="9" t="n">
        <v>25.6</v>
      </c>
      <c r="H96" s="9" t="n">
        <v>29</v>
      </c>
      <c r="I96" s="9" t="n">
        <v>97.44</v>
      </c>
      <c r="J96" s="9" t="n">
        <v>122.5</v>
      </c>
      <c r="K96" s="9" t="n">
        <v>7.18</v>
      </c>
      <c r="L96" s="9" t="n">
        <v>71.55</v>
      </c>
      <c r="M96" s="9" t="n">
        <v>193.31</v>
      </c>
      <c r="N96" s="9" t="n">
        <v>6</v>
      </c>
      <c r="O96" s="9" t="n">
        <v>22.88</v>
      </c>
      <c r="P96" s="9" t="n">
        <v>23.34</v>
      </c>
      <c r="Q96" s="9" t="n">
        <v>54.04</v>
      </c>
      <c r="R96" s="9" t="n">
        <v>13.24</v>
      </c>
      <c r="S96" s="9" t="n">
        <v>17.48</v>
      </c>
      <c r="T96" s="9" t="n">
        <v>3.67275</v>
      </c>
    </row>
    <row r="97">
      <c r="A97" s="15" t="inlineStr">
        <is>
          <t>2025-11-17</t>
        </is>
      </c>
      <c r="B97" s="12" t="n">
        <v>35.98</v>
      </c>
      <c r="C97" s="12" t="n">
        <v>59.96</v>
      </c>
      <c r="D97" s="12" t="n">
        <v>27.76</v>
      </c>
      <c r="E97" s="12" t="n">
        <v>2.57</v>
      </c>
      <c r="F97" s="12" t="n">
        <v>13.5</v>
      </c>
      <c r="G97" s="12" t="n">
        <v>25.9</v>
      </c>
      <c r="H97" s="12" t="n">
        <v>29</v>
      </c>
      <c r="I97" s="12" t="n">
        <v>96.04000000000001</v>
      </c>
      <c r="J97" s="12" t="n">
        <v>115.97</v>
      </c>
      <c r="K97" s="12" t="n">
        <v>6.255</v>
      </c>
      <c r="L97" s="12" t="n">
        <v>69.69</v>
      </c>
      <c r="M97" s="12" t="n">
        <v>187.55</v>
      </c>
      <c r="N97" s="12" t="n">
        <v>6.1</v>
      </c>
      <c r="O97" s="12" t="n">
        <v>22.3</v>
      </c>
      <c r="P97" s="12" t="n">
        <v>22.74</v>
      </c>
      <c r="Q97" s="12" t="n">
        <v>52.83</v>
      </c>
      <c r="R97" s="12" t="n">
        <v>12.65</v>
      </c>
      <c r="S97" s="12" t="n">
        <v>18.11</v>
      </c>
      <c r="T97" s="12" t="n">
        <v>3.673125</v>
      </c>
    </row>
    <row r="98">
      <c r="A98" s="14" t="inlineStr">
        <is>
          <t>2025-11-18</t>
        </is>
      </c>
      <c r="B98" s="9" t="n">
        <v>35.91</v>
      </c>
      <c r="C98" s="9" t="n">
        <v>58.74</v>
      </c>
      <c r="D98" s="9" t="n">
        <v>27.76</v>
      </c>
      <c r="E98" s="9" t="n">
        <v>2.54</v>
      </c>
      <c r="F98" s="9" t="n">
        <v>13.35</v>
      </c>
      <c r="G98" s="9" t="n">
        <v>25.65</v>
      </c>
      <c r="H98" s="9" t="n">
        <v>29</v>
      </c>
      <c r="I98" s="9" t="n">
        <v>96.90000000000001</v>
      </c>
      <c r="J98" s="9" t="n">
        <v>114.3</v>
      </c>
      <c r="K98" s="9" t="n">
        <v>7.84</v>
      </c>
      <c r="L98" s="9" t="n">
        <v>68.8</v>
      </c>
      <c r="M98" s="9" t="n">
        <v>185.69</v>
      </c>
      <c r="N98" s="9" t="n">
        <v>6.01</v>
      </c>
      <c r="O98" s="9" t="n">
        <v>22.37</v>
      </c>
      <c r="P98" s="9" t="n">
        <v>22.34</v>
      </c>
      <c r="Q98" s="9" t="n">
        <v>53.09</v>
      </c>
      <c r="R98" s="9" t="n">
        <v>12.42</v>
      </c>
      <c r="S98" s="9" t="n">
        <v>17.59</v>
      </c>
      <c r="T98" s="9" t="n">
        <v>3.672725</v>
      </c>
    </row>
    <row r="99">
      <c r="A99" s="15" t="inlineStr">
        <is>
          <t>2025-11-19</t>
        </is>
      </c>
      <c r="B99" s="12" t="n">
        <v>36.1</v>
      </c>
      <c r="C99" s="12" t="n">
        <v>59.85</v>
      </c>
      <c r="D99" s="12" t="n">
        <v>27.76</v>
      </c>
      <c r="E99" s="12" t="n">
        <v>2.5</v>
      </c>
      <c r="F99" s="12" t="n">
        <v>13.2</v>
      </c>
      <c r="G99" s="12" t="n">
        <v>25.55</v>
      </c>
      <c r="H99" s="12" t="n">
        <v>29</v>
      </c>
      <c r="I99" s="12" t="n">
        <v>97.8</v>
      </c>
      <c r="J99" s="12" t="n">
        <v>118.16</v>
      </c>
      <c r="K99" s="12" t="n">
        <v>7.5</v>
      </c>
      <c r="L99" s="12" t="n">
        <v>70.08</v>
      </c>
      <c r="M99" s="12" t="n">
        <v>187.78</v>
      </c>
      <c r="N99" s="12" t="n">
        <v>5.96</v>
      </c>
      <c r="O99" s="12" t="n">
        <v>22.78</v>
      </c>
      <c r="P99" s="12" t="n">
        <v>22.35</v>
      </c>
      <c r="Q99" s="12" t="n">
        <v>54.92</v>
      </c>
      <c r="R99" s="12" t="n">
        <v>12.3</v>
      </c>
      <c r="S99" s="12" t="n">
        <v>17.51</v>
      </c>
      <c r="T99" s="12" t="n">
        <v>3.67275</v>
      </c>
    </row>
    <row r="100">
      <c r="A100" s="14" t="inlineStr">
        <is>
          <t>2025-11-20</t>
        </is>
      </c>
      <c r="B100" s="9" t="n">
        <v>34.86</v>
      </c>
      <c r="C100" s="9" t="n">
        <v>57.43</v>
      </c>
      <c r="D100" s="9" t="n">
        <v>27.76</v>
      </c>
      <c r="E100" s="9" t="n">
        <v>2.54</v>
      </c>
      <c r="F100" s="9" t="n">
        <v>13.55</v>
      </c>
      <c r="G100" s="9" t="n">
        <v>25.7</v>
      </c>
      <c r="H100" s="9" t="n">
        <v>29</v>
      </c>
      <c r="I100" s="9" t="n">
        <v>93.43000000000001</v>
      </c>
      <c r="J100" s="9" t="n">
        <v>106.21</v>
      </c>
      <c r="K100" s="9" t="n">
        <v>6.27</v>
      </c>
      <c r="L100" s="9" t="n">
        <v>67.69</v>
      </c>
      <c r="M100" s="9" t="n">
        <v>181.88</v>
      </c>
      <c r="N100" s="9" t="n">
        <v>6</v>
      </c>
      <c r="O100" s="9" t="n">
        <v>21.43</v>
      </c>
      <c r="P100" s="9" t="n">
        <v>21.2</v>
      </c>
      <c r="Q100" s="9" t="n">
        <v>51.33</v>
      </c>
      <c r="R100" s="9" t="n">
        <v>11.82</v>
      </c>
      <c r="S100" s="9" t="n">
        <v>17.34</v>
      </c>
      <c r="T100" s="9" t="n">
        <v>3.67275</v>
      </c>
    </row>
    <row r="101">
      <c r="A101" s="15" t="inlineStr">
        <is>
          <t>2025-11-21</t>
        </is>
      </c>
      <c r="B101" s="12" t="n">
        <v>36.89</v>
      </c>
      <c r="C101" s="12" t="n">
        <v>58.39</v>
      </c>
      <c r="D101" s="12" t="n">
        <v>27.76</v>
      </c>
      <c r="E101" s="12" t="n">
        <v>2.49</v>
      </c>
      <c r="F101" s="12" t="n">
        <v>13.4</v>
      </c>
      <c r="G101" s="12" t="n">
        <v>24.5</v>
      </c>
      <c r="H101" s="12" t="n">
        <v>29</v>
      </c>
      <c r="I101" s="12" t="n">
        <v>93.98</v>
      </c>
      <c r="J101" s="12" t="n">
        <v>107.3</v>
      </c>
      <c r="K101" s="12" t="n">
        <v>6.735</v>
      </c>
      <c r="L101" s="12" t="n">
        <v>66.59</v>
      </c>
      <c r="M101" s="12" t="n">
        <v>183.48</v>
      </c>
      <c r="N101" s="12" t="n">
        <v>5.88</v>
      </c>
      <c r="O101" s="12" t="n">
        <v>21.57</v>
      </c>
      <c r="P101" s="12" t="n">
        <v>21.97</v>
      </c>
      <c r="Q101" s="12" t="n">
        <v>50.8</v>
      </c>
      <c r="R101" s="12" t="n">
        <v>12.51</v>
      </c>
      <c r="S101" s="12" t="n">
        <v>17.18</v>
      </c>
      <c r="T101" s="12" t="n">
        <v>3.67275</v>
      </c>
    </row>
    <row r="102">
      <c r="A102" s="14" t="inlineStr">
        <is>
          <t>2025-11-24</t>
        </is>
      </c>
      <c r="B102" s="9" t="n">
        <v>37.12</v>
      </c>
      <c r="C102" s="9" t="n">
        <v>60.01</v>
      </c>
      <c r="D102" s="9" t="n">
        <v>27.76</v>
      </c>
      <c r="E102" s="9" t="n">
        <v>2.46</v>
      </c>
      <c r="F102" s="9" t="n">
        <v>13.4</v>
      </c>
      <c r="G102" s="9" t="n">
        <v>24.6</v>
      </c>
      <c r="H102" s="9" t="n">
        <v>29</v>
      </c>
      <c r="I102" s="9" t="n">
        <v>99.84999999999999</v>
      </c>
      <c r="J102" s="9" t="n">
        <v>114.97</v>
      </c>
      <c r="K102" s="9" t="n">
        <v>8.720000000000001</v>
      </c>
      <c r="L102" s="9" t="n">
        <v>67.39</v>
      </c>
      <c r="M102" s="9" t="n">
        <v>195</v>
      </c>
      <c r="N102" s="9" t="n">
        <v>5.86</v>
      </c>
      <c r="O102" s="9" t="n">
        <v>22.89</v>
      </c>
      <c r="P102" s="9" t="n">
        <v>22.08</v>
      </c>
      <c r="Q102" s="9" t="n">
        <v>53.08</v>
      </c>
      <c r="R102" s="9" t="n">
        <v>12.85</v>
      </c>
      <c r="S102" s="9" t="n">
        <v>18.06</v>
      </c>
      <c r="T102" s="9" t="n">
        <v>3.6729</v>
      </c>
    </row>
    <row r="103">
      <c r="A103" s="15" t="inlineStr">
        <is>
          <t>2025-11-25</t>
        </is>
      </c>
      <c r="B103" s="12" t="n">
        <v>37.76</v>
      </c>
      <c r="C103" s="12" t="n">
        <v>60.63</v>
      </c>
      <c r="D103" s="12" t="n">
        <v>27.76</v>
      </c>
      <c r="E103" s="12" t="n">
        <v>2.51</v>
      </c>
      <c r="F103" s="12" t="n">
        <v>13.25</v>
      </c>
      <c r="G103" s="12" t="n">
        <v>24.75</v>
      </c>
      <c r="H103" s="12" t="n">
        <v>29</v>
      </c>
      <c r="I103" s="12" t="n">
        <v>100.15</v>
      </c>
      <c r="J103" s="12" t="n">
        <v>115.57</v>
      </c>
      <c r="K103" s="12" t="n">
        <v>8.44</v>
      </c>
      <c r="L103" s="12" t="n">
        <v>68.89</v>
      </c>
      <c r="M103" s="12" t="n">
        <v>218.48</v>
      </c>
      <c r="N103" s="12" t="n">
        <v>5.85</v>
      </c>
      <c r="O103" s="12" t="n">
        <v>23.18</v>
      </c>
      <c r="P103" s="12" t="n">
        <v>22.46</v>
      </c>
      <c r="Q103" s="12" t="n">
        <v>54.5</v>
      </c>
      <c r="R103" s="12" t="n">
        <v>13.3</v>
      </c>
      <c r="S103" s="12" t="n">
        <v>19.86</v>
      </c>
      <c r="T103" s="12" t="n">
        <v>3.67305</v>
      </c>
    </row>
    <row r="104">
      <c r="A104" s="14" t="inlineStr">
        <is>
          <t>2025-11-26</t>
        </is>
      </c>
      <c r="B104" s="9" t="n">
        <v>38.21</v>
      </c>
      <c r="C104" s="9" t="n">
        <v>62.26</v>
      </c>
      <c r="D104" s="9" t="n">
        <v>27.76</v>
      </c>
      <c r="E104" s="9" t="n">
        <v>2.5</v>
      </c>
      <c r="F104" s="9" t="n">
        <v>13.25</v>
      </c>
      <c r="G104" s="9" t="n">
        <v>24.7</v>
      </c>
      <c r="H104" s="9" t="n">
        <v>29</v>
      </c>
      <c r="I104" s="9" t="n">
        <v>105.33</v>
      </c>
      <c r="J104" s="9" t="n">
        <v>128.2</v>
      </c>
      <c r="K104" s="9" t="n">
        <v>8.24</v>
      </c>
      <c r="L104" s="9" t="n">
        <v>68.17</v>
      </c>
      <c r="M104" s="9" t="n">
        <v>207.56</v>
      </c>
      <c r="N104" s="9" t="n">
        <v>5.81</v>
      </c>
      <c r="O104" s="9" t="n">
        <v>24.55</v>
      </c>
      <c r="P104" s="9" t="n">
        <v>22.65</v>
      </c>
      <c r="Q104" s="9" t="n">
        <v>55.02</v>
      </c>
      <c r="R104" s="9" t="n">
        <v>13.48</v>
      </c>
      <c r="S104" s="9" t="n">
        <v>20.5</v>
      </c>
      <c r="T104" s="9" t="n">
        <v>3.673075</v>
      </c>
    </row>
    <row r="105">
      <c r="A105" s="15" t="inlineStr">
        <is>
          <t>2025-11-27</t>
        </is>
      </c>
      <c r="B105" s="12" t="n">
        <v>38.21</v>
      </c>
      <c r="C105" s="12" t="n">
        <v>62.26</v>
      </c>
      <c r="D105" s="12" t="n">
        <v>27.76</v>
      </c>
      <c r="E105" s="12" t="n">
        <v>2.55</v>
      </c>
      <c r="F105" s="12" t="n">
        <v>13.2</v>
      </c>
      <c r="G105" s="12" t="n">
        <v>24.55</v>
      </c>
      <c r="H105" s="12" t="n">
        <v>29</v>
      </c>
      <c r="I105" s="12" t="n">
        <v>105.33</v>
      </c>
      <c r="J105" s="12" t="n">
        <v>128.2</v>
      </c>
      <c r="K105" s="12" t="n">
        <v>8.24</v>
      </c>
      <c r="L105" s="12" t="n">
        <v>68.17</v>
      </c>
      <c r="M105" s="12" t="n">
        <v>207.56</v>
      </c>
      <c r="N105" s="12" t="n">
        <v>5.73</v>
      </c>
      <c r="O105" s="12" t="n">
        <v>24.55</v>
      </c>
      <c r="P105" s="12" t="n">
        <v>22.65</v>
      </c>
      <c r="Q105" s="12" t="n">
        <v>55.02</v>
      </c>
      <c r="R105" s="12" t="n">
        <v>13.48</v>
      </c>
      <c r="S105" s="12" t="n">
        <v>20.5</v>
      </c>
      <c r="T105" s="12" t="n">
        <v>3.672975</v>
      </c>
    </row>
    <row r="106">
      <c r="A106" s="14" t="inlineStr">
        <is>
          <t>2025-11-28</t>
        </is>
      </c>
      <c r="B106" s="9" t="n">
        <v>38.1</v>
      </c>
      <c r="C106" s="9" t="n">
        <v>64.3</v>
      </c>
      <c r="D106" s="9" t="n">
        <v>27.76</v>
      </c>
      <c r="E106" s="9" t="n">
        <v>2.6</v>
      </c>
      <c r="F106" s="9" t="n">
        <v>13.3</v>
      </c>
      <c r="G106" s="9" t="n">
        <v>24.4</v>
      </c>
      <c r="H106" s="9" t="n">
        <v>29</v>
      </c>
      <c r="I106" s="9" t="n">
        <v>109.28</v>
      </c>
      <c r="J106" s="9" t="n">
        <v>128.49</v>
      </c>
      <c r="K106" s="9" t="n">
        <v>7.9</v>
      </c>
      <c r="L106" s="9" t="n">
        <v>69.31999999999999</v>
      </c>
      <c r="M106" s="9" t="n">
        <v>216.47</v>
      </c>
      <c r="N106" s="9" t="n">
        <v>5.74</v>
      </c>
      <c r="O106" s="9" t="n">
        <v>26.09</v>
      </c>
      <c r="P106" s="9" t="n">
        <v>22.99</v>
      </c>
      <c r="Q106" s="9" t="n">
        <v>55.59</v>
      </c>
      <c r="R106" s="9" t="n">
        <v>13.67</v>
      </c>
      <c r="S106" s="9" t="n">
        <v>20.28</v>
      </c>
      <c r="T106" s="9" t="n">
        <v>3.672975</v>
      </c>
    </row>
    <row r="107">
      <c r="A107" s="15" t="inlineStr">
        <is>
          <t>2025-12-01</t>
        </is>
      </c>
      <c r="B107" s="12" t="n">
        <v>37.95</v>
      </c>
      <c r="C107" s="12" t="n">
        <v>64.86</v>
      </c>
      <c r="D107" s="12" t="n">
        <v>27.76</v>
      </c>
      <c r="E107" s="12" t="n">
        <v>2.6</v>
      </c>
      <c r="F107" s="12" t="n">
        <v>13.3</v>
      </c>
      <c r="G107" s="12" t="n">
        <v>24.4</v>
      </c>
      <c r="H107" s="12" t="n">
        <v>29</v>
      </c>
      <c r="I107" s="12" t="n">
        <v>108.28</v>
      </c>
      <c r="J107" s="12" t="n">
        <v>123.24</v>
      </c>
      <c r="K107" s="12" t="n">
        <v>7.58</v>
      </c>
      <c r="L107" s="12" t="n">
        <v>68.59999999999999</v>
      </c>
      <c r="M107" s="12" t="n">
        <v>223.4</v>
      </c>
      <c r="N107" s="12" t="n">
        <v>5.74</v>
      </c>
      <c r="O107" s="12" t="n">
        <v>26.08</v>
      </c>
      <c r="P107" s="12" t="n">
        <v>23.16</v>
      </c>
      <c r="Q107" s="12" t="n">
        <v>54.76</v>
      </c>
      <c r="R107" s="12" t="n">
        <v>13.75</v>
      </c>
      <c r="S107" s="12" t="n">
        <v>22.11</v>
      </c>
      <c r="T107" s="12" t="n">
        <v>3.6724</v>
      </c>
    </row>
    <row r="108">
      <c r="A108" s="14" t="inlineStr">
        <is>
          <t>2025-12-02</t>
        </is>
      </c>
      <c r="B108" s="9" t="n">
        <v>38.19</v>
      </c>
      <c r="C108" s="9" t="n">
        <v>64.65000000000001</v>
      </c>
      <c r="D108" s="9" t="n">
        <v>27.76</v>
      </c>
      <c r="E108" s="9" t="n">
        <v>2.6</v>
      </c>
      <c r="F108" s="9" t="n">
        <v>13.3</v>
      </c>
      <c r="G108" s="9" t="n">
        <v>24.4</v>
      </c>
      <c r="H108" s="9" t="n">
        <v>29</v>
      </c>
      <c r="I108" s="9" t="n">
        <v>107.29</v>
      </c>
      <c r="J108" s="9" t="n">
        <v>125.95</v>
      </c>
      <c r="K108" s="9" t="n">
        <v>8.07</v>
      </c>
      <c r="L108" s="9" t="n">
        <v>69.40000000000001</v>
      </c>
      <c r="M108" s="9" t="n">
        <v>222.76</v>
      </c>
      <c r="N108" s="9" t="n">
        <v>5.74</v>
      </c>
      <c r="O108" s="9" t="n">
        <v>26.04</v>
      </c>
      <c r="P108" s="9" t="n">
        <v>24.09</v>
      </c>
      <c r="Q108" s="9" t="n">
        <v>55.99</v>
      </c>
      <c r="R108" s="9" t="n">
        <v>14.05</v>
      </c>
      <c r="S108" s="9" t="n">
        <v>21.36</v>
      </c>
      <c r="T108" s="9" t="n">
        <v>3.673175</v>
      </c>
    </row>
    <row r="109">
      <c r="A109" s="15" t="inlineStr">
        <is>
          <t>2025-12-03</t>
        </is>
      </c>
      <c r="B109" s="12" t="n">
        <v>37.69</v>
      </c>
      <c r="C109" s="12" t="n">
        <v>67.47</v>
      </c>
      <c r="D109" s="12" t="n">
        <v>27.76</v>
      </c>
      <c r="E109" s="12" t="n">
        <v>2.52</v>
      </c>
      <c r="F109" s="12" t="n">
        <v>13.55</v>
      </c>
      <c r="G109" s="12" t="n">
        <v>25.25</v>
      </c>
      <c r="H109" s="12" t="n">
        <v>29</v>
      </c>
      <c r="I109" s="12" t="n">
        <v>106.75</v>
      </c>
      <c r="J109" s="12" t="n">
        <v>133.64</v>
      </c>
      <c r="K109" s="12" t="n">
        <v>8.92</v>
      </c>
      <c r="L109" s="12" t="n">
        <v>71.41</v>
      </c>
      <c r="M109" s="12" t="n">
        <v>220.84</v>
      </c>
      <c r="N109" s="12" t="n">
        <v>5.95</v>
      </c>
      <c r="O109" s="12" t="n">
        <v>25.82</v>
      </c>
      <c r="P109" s="12" t="n">
        <v>25.81</v>
      </c>
      <c r="Q109" s="12" t="n">
        <v>57.73</v>
      </c>
      <c r="R109" s="12" t="n">
        <v>14.95</v>
      </c>
      <c r="S109" s="12" t="n">
        <v>21.87</v>
      </c>
      <c r="T109" s="12" t="n">
        <v>3.6731</v>
      </c>
    </row>
    <row r="110">
      <c r="A110" s="14" t="inlineStr">
        <is>
          <t>2025-12-04</t>
        </is>
      </c>
      <c r="B110" s="9" t="n">
        <v>38.9</v>
      </c>
      <c r="C110" s="9" t="n">
        <v>67.2</v>
      </c>
      <c r="D110" s="9" t="n">
        <v>27.76</v>
      </c>
      <c r="E110" s="9" t="n">
        <v>2.53</v>
      </c>
      <c r="F110" s="9" t="n">
        <v>13.65</v>
      </c>
      <c r="G110" s="9" t="n">
        <v>26.15</v>
      </c>
      <c r="H110" s="9" t="n">
        <v>29</v>
      </c>
      <c r="I110" s="9" t="n">
        <v>106.98</v>
      </c>
      <c r="J110" s="9" t="n">
        <v>137.08</v>
      </c>
      <c r="K110" s="9" t="n">
        <v>9.19</v>
      </c>
      <c r="L110" s="9" t="n">
        <v>70.43000000000001</v>
      </c>
      <c r="M110" s="9" t="n">
        <v>222.75</v>
      </c>
      <c r="N110" s="9" t="n">
        <v>6</v>
      </c>
      <c r="O110" s="9" t="n">
        <v>25.67</v>
      </c>
      <c r="P110" s="9" t="n">
        <v>25.66</v>
      </c>
      <c r="Q110" s="9" t="n">
        <v>60.12</v>
      </c>
      <c r="R110" s="9" t="n">
        <v>15.15</v>
      </c>
      <c r="S110" s="9" t="n">
        <v>22.75</v>
      </c>
      <c r="T110" s="9" t="n">
        <v>3.673275</v>
      </c>
    </row>
    <row r="111">
      <c r="A111" s="15" t="inlineStr">
        <is>
          <t>2025-12-05</t>
        </is>
      </c>
      <c r="B111" s="12" t="n">
        <v>38.42</v>
      </c>
      <c r="C111" s="12" t="n">
        <v>68.01000000000001</v>
      </c>
      <c r="D111" s="12" t="n">
        <v>27.76</v>
      </c>
      <c r="E111" s="12" t="n">
        <v>2.54</v>
      </c>
      <c r="F111" s="12" t="n">
        <v>14.05</v>
      </c>
      <c r="G111" s="12" t="n">
        <v>26.8</v>
      </c>
      <c r="H111" s="12" t="n">
        <v>29</v>
      </c>
      <c r="I111" s="12" t="n">
        <v>106.68</v>
      </c>
      <c r="J111" s="12" t="n">
        <v>131.95</v>
      </c>
      <c r="K111" s="12" t="n">
        <v>9.07</v>
      </c>
      <c r="L111" s="12" t="n">
        <v>86.27</v>
      </c>
      <c r="M111" s="12" t="n">
        <v>234.11</v>
      </c>
      <c r="N111" s="12" t="n">
        <v>5.99</v>
      </c>
      <c r="O111" s="12" t="n">
        <v>25.66</v>
      </c>
      <c r="P111" s="12" t="n">
        <v>26</v>
      </c>
      <c r="Q111" s="12" t="n">
        <v>58.61</v>
      </c>
      <c r="R111" s="12" t="n">
        <v>15.2</v>
      </c>
      <c r="S111" s="12" t="n">
        <v>22.07</v>
      </c>
      <c r="T111" s="12" t="n">
        <v>3.673275</v>
      </c>
    </row>
    <row r="112">
      <c r="A112" s="14" t="inlineStr">
        <is>
          <t>2025-12-08</t>
        </is>
      </c>
      <c r="B112" s="9" t="n">
        <v>38.42</v>
      </c>
      <c r="C112" s="9" t="n">
        <v>67.44</v>
      </c>
      <c r="D112" s="9" t="n">
        <v>27.76</v>
      </c>
      <c r="E112" s="9" t="n">
        <v>2.53</v>
      </c>
      <c r="F112" s="9" t="n">
        <v>13.85</v>
      </c>
      <c r="G112" s="9" t="n">
        <v>26.8</v>
      </c>
      <c r="H112" s="9" t="n">
        <v>29</v>
      </c>
      <c r="I112" s="9" t="n">
        <v>104.49</v>
      </c>
      <c r="J112" s="9" t="n">
        <v>136.43</v>
      </c>
      <c r="K112" s="9" t="n">
        <v>9.02</v>
      </c>
      <c r="L112" s="9" t="n">
        <v>89.09999999999999</v>
      </c>
      <c r="M112" s="9" t="n">
        <v>236.95</v>
      </c>
      <c r="N112" s="9" t="n">
        <v>6</v>
      </c>
      <c r="O112" s="9" t="n">
        <v>25.03</v>
      </c>
      <c r="P112" s="9" t="n">
        <v>25.88</v>
      </c>
      <c r="Q112" s="9" t="n">
        <v>58.08</v>
      </c>
      <c r="R112" s="9" t="n">
        <v>15.28</v>
      </c>
      <c r="S112" s="9" t="n">
        <v>22.91</v>
      </c>
      <c r="T112" s="9" t="n">
        <v>3.67305</v>
      </c>
    </row>
    <row r="113">
      <c r="A113" s="15" t="inlineStr">
        <is>
          <t>2025-12-09</t>
        </is>
      </c>
      <c r="B113" s="12" t="n">
        <v>38.22</v>
      </c>
      <c r="C113" s="12" t="n">
        <v>66.90000000000001</v>
      </c>
      <c r="D113" s="12" t="n">
        <v>27.76</v>
      </c>
      <c r="E113" s="12" t="n">
        <v>2.54</v>
      </c>
      <c r="F113" s="12" t="n">
        <v>14.05</v>
      </c>
      <c r="G113" s="12" t="n">
        <v>26.4</v>
      </c>
      <c r="H113" s="12" t="n">
        <v>29</v>
      </c>
      <c r="I113" s="12" t="n">
        <v>108.9</v>
      </c>
      <c r="J113" s="12" t="n">
        <v>135.71</v>
      </c>
      <c r="K113" s="12" t="n">
        <v>9.23</v>
      </c>
      <c r="L113" s="12" t="n">
        <v>91.31</v>
      </c>
      <c r="M113" s="12" t="n">
        <v>236.11</v>
      </c>
      <c r="N113" s="12" t="n">
        <v>6.05</v>
      </c>
      <c r="O113" s="12" t="n">
        <v>26.24</v>
      </c>
      <c r="P113" s="12" t="n">
        <v>25.94</v>
      </c>
      <c r="Q113" s="12" t="n">
        <v>58.4</v>
      </c>
      <c r="R113" s="12" t="n">
        <v>15.35</v>
      </c>
      <c r="S113" s="12" t="n">
        <v>22.76</v>
      </c>
      <c r="T113" s="12" t="n">
        <v>3.673075</v>
      </c>
    </row>
    <row r="114">
      <c r="A114" s="14" t="inlineStr">
        <is>
          <t>2025-12-10</t>
        </is>
      </c>
      <c r="B114" s="9" t="n">
        <v>37.91</v>
      </c>
      <c r="C114" s="9" t="n">
        <v>68.45999999999999</v>
      </c>
      <c r="D114" s="9" t="n">
        <v>27.76</v>
      </c>
      <c r="E114" s="9" t="n">
        <v>2.56</v>
      </c>
      <c r="F114" s="9" t="n">
        <v>14.15</v>
      </c>
      <c r="G114" s="9" t="n">
        <v>27.1</v>
      </c>
      <c r="H114" s="9" t="n">
        <v>29</v>
      </c>
      <c r="I114" s="9" t="n">
        <v>110.89</v>
      </c>
      <c r="J114" s="9" t="n">
        <v>135.66</v>
      </c>
      <c r="K114" s="9" t="n">
        <v>8.324999999999999</v>
      </c>
      <c r="L114" s="9" t="n">
        <v>89.91</v>
      </c>
      <c r="M114" s="9" t="n">
        <v>238.11</v>
      </c>
      <c r="N114" s="9" t="n">
        <v>6.07</v>
      </c>
      <c r="O114" s="9" t="n">
        <v>26.58</v>
      </c>
      <c r="P114" s="9" t="n">
        <v>26.32</v>
      </c>
      <c r="Q114" s="9" t="n">
        <v>58.25</v>
      </c>
      <c r="R114" s="9" t="n">
        <v>15.8</v>
      </c>
      <c r="S114" s="9" t="n">
        <v>21.13</v>
      </c>
      <c r="T114" s="9" t="n">
        <v>3.672625</v>
      </c>
    </row>
    <row r="115">
      <c r="A115" s="15" t="inlineStr">
        <is>
          <t>2025-12-11</t>
        </is>
      </c>
      <c r="B115" s="12" t="n">
        <v>36.88</v>
      </c>
      <c r="C115" s="12" t="n">
        <v>69.15000000000001</v>
      </c>
      <c r="D115" s="12" t="n">
        <v>27.76</v>
      </c>
      <c r="E115" s="12" t="n">
        <v>2.56</v>
      </c>
      <c r="F115" s="12" t="n">
        <v>14.2</v>
      </c>
      <c r="G115" s="12" t="n">
        <v>27.8</v>
      </c>
      <c r="H115" s="12" t="n">
        <v>29</v>
      </c>
      <c r="I115" s="12" t="n">
        <v>114.87</v>
      </c>
      <c r="J115" s="12" t="n">
        <v>123.38</v>
      </c>
      <c r="K115" s="12" t="n">
        <v>9.02</v>
      </c>
      <c r="L115" s="12" t="n">
        <v>87.08</v>
      </c>
      <c r="M115" s="12" t="n">
        <v>233.54</v>
      </c>
      <c r="N115" s="12" t="n">
        <v>6.22</v>
      </c>
      <c r="O115" s="12" t="n">
        <v>28.12</v>
      </c>
      <c r="P115" s="12" t="n">
        <v>26.26</v>
      </c>
      <c r="Q115" s="12" t="n">
        <v>59.67</v>
      </c>
      <c r="R115" s="12" t="n">
        <v>15.84</v>
      </c>
      <c r="S115" s="12" t="n">
        <v>19.86</v>
      </c>
      <c r="T115" s="12" t="n">
        <v>3.6728</v>
      </c>
    </row>
    <row r="116">
      <c r="A116" s="14" t="inlineStr">
        <is>
          <t>2025-12-12</t>
        </is>
      </c>
      <c r="B116" s="9" t="n">
        <v>35.65</v>
      </c>
      <c r="C116" s="9" t="n">
        <v>68.14</v>
      </c>
      <c r="D116" s="9" t="n">
        <v>27.76</v>
      </c>
      <c r="E116" s="9" t="n">
        <v>2.56</v>
      </c>
      <c r="F116" s="9" t="n">
        <v>14.2</v>
      </c>
      <c r="G116" s="9" t="n">
        <v>28.25</v>
      </c>
      <c r="H116" s="9" t="n">
        <v>29</v>
      </c>
      <c r="I116" s="9" t="n">
        <v>114.3</v>
      </c>
      <c r="J116" s="9" t="n">
        <v>119.5</v>
      </c>
      <c r="K116" s="9" t="n">
        <v>8.75</v>
      </c>
      <c r="L116" s="9" t="n">
        <v>81.53</v>
      </c>
      <c r="M116" s="9" t="n">
        <v>224.78</v>
      </c>
      <c r="N116" s="9" t="n">
        <v>6.19</v>
      </c>
      <c r="O116" s="9" t="n">
        <v>27.62</v>
      </c>
      <c r="P116" s="9" t="n">
        <v>26</v>
      </c>
      <c r="Q116" s="9" t="n">
        <v>56.73</v>
      </c>
      <c r="R116" s="9" t="n">
        <v>15.33</v>
      </c>
      <c r="S116" s="9" t="n">
        <v>18.56</v>
      </c>
      <c r="T116" s="9" t="n">
        <v>3.6728</v>
      </c>
    </row>
    <row r="117">
      <c r="A117" s="15" t="inlineStr">
        <is>
          <t>2025-12-15</t>
        </is>
      </c>
      <c r="B117" s="12" t="n">
        <v>34.8</v>
      </c>
      <c r="C117" s="12" t="n">
        <v>68.76000000000001</v>
      </c>
      <c r="D117" s="12" t="n">
        <v>27.76</v>
      </c>
      <c r="E117" s="12" t="n">
        <v>2.54</v>
      </c>
      <c r="F117" s="12" t="n">
        <v>14.2</v>
      </c>
      <c r="G117" s="12" t="n">
        <v>28.05</v>
      </c>
      <c r="H117" s="12" t="n">
        <v>29</v>
      </c>
      <c r="I117" s="12" t="n">
        <v>112.58</v>
      </c>
      <c r="J117" s="12" t="n">
        <v>115.26</v>
      </c>
      <c r="K117" s="12" t="n">
        <v>7.69</v>
      </c>
      <c r="L117" s="12" t="n">
        <v>79.89</v>
      </c>
      <c r="M117" s="12" t="n">
        <v>218.5</v>
      </c>
      <c r="N117" s="12" t="n">
        <v>6.2</v>
      </c>
      <c r="O117" s="12" t="n">
        <v>27.41</v>
      </c>
      <c r="P117" s="12" t="n">
        <v>26.46</v>
      </c>
      <c r="Q117" s="12" t="n">
        <v>55.16</v>
      </c>
      <c r="R117" s="12" t="n">
        <v>15.15</v>
      </c>
      <c r="S117" s="12" t="n">
        <v>17.74</v>
      </c>
      <c r="T117" s="12" t="n">
        <v>3.6735</v>
      </c>
    </row>
    <row r="118">
      <c r="A118" s="14" t="inlineStr">
        <is>
          <t>2025-12-16</t>
        </is>
      </c>
      <c r="B118" s="9" t="n">
        <v>36.83</v>
      </c>
      <c r="C118" s="9" t="n">
        <v>68.33</v>
      </c>
      <c r="D118" s="9" t="n">
        <v>27.76</v>
      </c>
      <c r="E118" s="9" t="n">
        <v>2.53</v>
      </c>
      <c r="F118" s="9" t="n">
        <v>14.4</v>
      </c>
      <c r="G118" s="9" t="n">
        <v>28.3</v>
      </c>
      <c r="H118" s="9" t="n">
        <v>29</v>
      </c>
      <c r="I118" s="9" t="n">
        <v>113.23</v>
      </c>
      <c r="J118" s="9" t="n">
        <v>119.4</v>
      </c>
      <c r="K118" s="9" t="n">
        <v>8.09</v>
      </c>
      <c r="L118" s="9" t="n">
        <v>77.91</v>
      </c>
      <c r="M118" s="9" t="n">
        <v>224</v>
      </c>
      <c r="N118" s="9" t="n">
        <v>6.28</v>
      </c>
      <c r="O118" s="9" t="n">
        <v>27.53</v>
      </c>
      <c r="P118" s="9" t="n">
        <v>25.94</v>
      </c>
      <c r="Q118" s="9" t="n">
        <v>54.35</v>
      </c>
      <c r="R118" s="9" t="n">
        <v>14.88</v>
      </c>
      <c r="S118" s="9" t="n">
        <v>17.85</v>
      </c>
      <c r="T118" s="9" t="n">
        <v>3.673675</v>
      </c>
    </row>
    <row r="119">
      <c r="A119" s="15" t="inlineStr">
        <is>
          <t>2025-12-17</t>
        </is>
      </c>
      <c r="B119" s="12" t="n">
        <v>35.76</v>
      </c>
      <c r="C119" s="12" t="n">
        <v>68.75</v>
      </c>
      <c r="D119" s="12" t="n">
        <v>27.76</v>
      </c>
      <c r="E119" s="12" t="n">
        <v>2.53</v>
      </c>
      <c r="F119" s="12" t="n">
        <v>14.2</v>
      </c>
      <c r="G119" s="12" t="n">
        <v>28.8</v>
      </c>
      <c r="H119" s="12" t="n">
        <v>29</v>
      </c>
      <c r="I119" s="12" t="n">
        <v>114.62</v>
      </c>
      <c r="J119" s="12" t="n">
        <v>115.8</v>
      </c>
      <c r="K119" s="12" t="n">
        <v>7.37</v>
      </c>
      <c r="L119" s="12" t="n">
        <v>73.19</v>
      </c>
      <c r="M119" s="12" t="n">
        <v>227.34</v>
      </c>
      <c r="N119" s="12" t="n">
        <v>6.28</v>
      </c>
      <c r="O119" s="12" t="n">
        <v>27.66</v>
      </c>
      <c r="P119" s="12" t="n">
        <v>25.55</v>
      </c>
      <c r="Q119" s="12" t="n">
        <v>53.21</v>
      </c>
      <c r="R119" s="12" t="n">
        <v>14.57</v>
      </c>
      <c r="S119" s="12" t="n">
        <v>17.15</v>
      </c>
      <c r="T119" s="12" t="n">
        <v>3.6729</v>
      </c>
    </row>
    <row r="120">
      <c r="A120" s="14" t="inlineStr">
        <is>
          <t>2025-12-18</t>
        </is>
      </c>
      <c r="B120" s="9" t="n">
        <v>36.17</v>
      </c>
      <c r="C120" s="9" t="n">
        <v>69.15000000000001</v>
      </c>
      <c r="D120" s="9" t="n">
        <v>27.76</v>
      </c>
      <c r="E120" s="9" t="n">
        <v>2.53</v>
      </c>
      <c r="F120" s="9" t="n">
        <v>14.1</v>
      </c>
      <c r="G120" s="9" t="n">
        <v>28.6</v>
      </c>
      <c r="H120" s="9" t="n">
        <v>29</v>
      </c>
      <c r="I120" s="9" t="n">
        <v>114.2</v>
      </c>
      <c r="J120" s="9" t="n">
        <v>117.16</v>
      </c>
      <c r="K120" s="9" t="n">
        <v>7.8</v>
      </c>
      <c r="L120" s="9" t="n">
        <v>75.91</v>
      </c>
      <c r="M120" s="9" t="n">
        <v>231.34</v>
      </c>
      <c r="N120" s="9" t="n">
        <v>6.28</v>
      </c>
      <c r="O120" s="9" t="n">
        <v>27.46</v>
      </c>
      <c r="P120" s="9" t="n">
        <v>25.75</v>
      </c>
      <c r="Q120" s="9" t="n">
        <v>53.13</v>
      </c>
      <c r="R120" s="9" t="n">
        <v>14.82</v>
      </c>
      <c r="S120" s="9" t="n">
        <v>17.89</v>
      </c>
      <c r="T120" s="9" t="n">
        <v>3.67265</v>
      </c>
    </row>
    <row r="121">
      <c r="A121" s="15" t="inlineStr">
        <is>
          <t>2025-12-19</t>
        </is>
      </c>
      <c r="B121" s="12" t="n">
        <v>36.8</v>
      </c>
      <c r="C121" s="12" t="n">
        <v>70.3</v>
      </c>
      <c r="D121" s="12" t="n">
        <v>27.76</v>
      </c>
      <c r="E121" s="12" t="n">
        <v>2.55</v>
      </c>
      <c r="F121" s="12" t="n">
        <v>13.85</v>
      </c>
      <c r="G121" s="12" t="n">
        <v>27.75</v>
      </c>
      <c r="H121" s="12" t="n">
        <v>29</v>
      </c>
      <c r="I121" s="12" t="n">
        <v>117.63</v>
      </c>
      <c r="J121" s="12" t="n">
        <v>121.35</v>
      </c>
      <c r="K121" s="12" t="n">
        <v>9.220000000000001</v>
      </c>
      <c r="L121" s="12" t="n">
        <v>78.18000000000001</v>
      </c>
      <c r="M121" s="12" t="n">
        <v>233.19</v>
      </c>
      <c r="N121" s="12" t="n">
        <v>6.48</v>
      </c>
      <c r="O121" s="12" t="n">
        <v>28.45</v>
      </c>
      <c r="P121" s="12" t="n">
        <v>25.82</v>
      </c>
      <c r="Q121" s="12" t="n">
        <v>55.7</v>
      </c>
      <c r="R121" s="12" t="n">
        <v>14.87</v>
      </c>
      <c r="S121" s="12" t="n">
        <v>18.37</v>
      </c>
      <c r="T121" s="12" t="n">
        <v>3.67265</v>
      </c>
    </row>
    <row r="122">
      <c r="A122" s="14" t="inlineStr">
        <is>
          <t>2025-12-22</t>
        </is>
      </c>
      <c r="B122" s="9" t="n">
        <v>36.58</v>
      </c>
      <c r="C122" s="9" t="n">
        <v>72.55</v>
      </c>
      <c r="D122" s="9" t="n">
        <v>27.76</v>
      </c>
      <c r="E122" s="9" t="n">
        <v>2.55</v>
      </c>
      <c r="F122" s="9" t="n">
        <v>14.25</v>
      </c>
      <c r="G122" s="9" t="n">
        <v>28.95</v>
      </c>
      <c r="H122" s="9" t="n">
        <v>29</v>
      </c>
      <c r="I122" s="9" t="n">
        <v>120</v>
      </c>
      <c r="J122" s="9" t="n">
        <v>122.37</v>
      </c>
      <c r="K122" s="9" t="n">
        <v>9.27</v>
      </c>
      <c r="L122" s="9" t="n">
        <v>79.70999999999999</v>
      </c>
      <c r="M122" s="9" t="n">
        <v>233.15</v>
      </c>
      <c r="N122" s="9" t="n">
        <v>6.4</v>
      </c>
      <c r="O122" s="9" t="n">
        <v>29.53</v>
      </c>
      <c r="P122" s="9" t="n">
        <v>25.94</v>
      </c>
      <c r="Q122" s="9" t="n">
        <v>55.64</v>
      </c>
      <c r="R122" s="9" t="n">
        <v>14.93</v>
      </c>
      <c r="S122" s="9" t="n">
        <v>18.38</v>
      </c>
      <c r="T122" s="9" t="n">
        <v>3.6727</v>
      </c>
    </row>
    <row r="123">
      <c r="A123" s="15" t="inlineStr">
        <is>
          <t>2025-12-23</t>
        </is>
      </c>
      <c r="B123" s="12" t="n">
        <v>36.66</v>
      </c>
      <c r="C123" s="12" t="n">
        <v>73.94</v>
      </c>
      <c r="D123" s="12" t="n">
        <v>27.76</v>
      </c>
      <c r="E123" s="12" t="n">
        <v>2.55</v>
      </c>
      <c r="F123" s="12" t="n">
        <v>14.3</v>
      </c>
      <c r="G123" s="12" t="n">
        <v>29.1</v>
      </c>
      <c r="H123" s="12" t="n">
        <v>29</v>
      </c>
      <c r="I123" s="12" t="n">
        <v>120</v>
      </c>
      <c r="J123" s="12" t="n">
        <v>120.24</v>
      </c>
      <c r="K123" s="12" t="n">
        <v>8.960000000000001</v>
      </c>
      <c r="L123" s="12" t="n">
        <v>78.75</v>
      </c>
      <c r="M123" s="12" t="n">
        <v>225.82</v>
      </c>
      <c r="N123" s="12" t="n">
        <v>6.35</v>
      </c>
      <c r="O123" s="12" t="n">
        <v>29.69</v>
      </c>
      <c r="P123" s="12" t="n">
        <v>26.06</v>
      </c>
      <c r="Q123" s="12" t="n">
        <v>56.51</v>
      </c>
      <c r="R123" s="12" t="n">
        <v>14.96</v>
      </c>
      <c r="S123" s="12" t="n">
        <v>18.34</v>
      </c>
      <c r="T123" s="12" t="n">
        <v>3.6728</v>
      </c>
    </row>
    <row r="124">
      <c r="A124" s="14" t="inlineStr">
        <is>
          <t>2025-12-24</t>
        </is>
      </c>
      <c r="B124" s="9" t="n">
        <v>36.6</v>
      </c>
      <c r="C124" s="9" t="n">
        <v>73.75</v>
      </c>
      <c r="D124" s="9" t="n">
        <v>27.76</v>
      </c>
      <c r="E124" s="9" t="n">
        <v>2.54</v>
      </c>
      <c r="F124" s="9" t="n">
        <v>14.4</v>
      </c>
      <c r="G124" s="9" t="n">
        <v>29.1</v>
      </c>
      <c r="H124" s="9" t="n">
        <v>29</v>
      </c>
      <c r="I124" s="9" t="n">
        <v>118.97</v>
      </c>
      <c r="J124" s="9" t="n">
        <v>120.44</v>
      </c>
      <c r="K124" s="9" t="n">
        <v>9.130000000000001</v>
      </c>
      <c r="L124" s="9" t="n">
        <v>78.8</v>
      </c>
      <c r="M124" s="9" t="n">
        <v>225.85</v>
      </c>
      <c r="N124" s="9" t="n">
        <v>6.3</v>
      </c>
      <c r="O124" s="9" t="n">
        <v>29.33</v>
      </c>
      <c r="P124" s="9" t="n">
        <v>26.12</v>
      </c>
      <c r="Q124" s="9" t="n">
        <v>56.58</v>
      </c>
      <c r="R124" s="9" t="n">
        <v>15.02</v>
      </c>
      <c r="S124" s="9" t="n">
        <v>18.43</v>
      </c>
      <c r="T124" s="9" t="n">
        <v>3.6728</v>
      </c>
    </row>
    <row r="125">
      <c r="A125" s="15" t="inlineStr">
        <is>
          <t>2025-12-25</t>
        </is>
      </c>
      <c r="B125" s="12" t="n">
        <v>36.6</v>
      </c>
      <c r="C125" s="12" t="n">
        <v>73.75</v>
      </c>
      <c r="D125" s="12" t="n">
        <v>27.76</v>
      </c>
      <c r="E125" s="12" t="n">
        <v>2.55</v>
      </c>
      <c r="F125" s="12" t="n">
        <v>14.2</v>
      </c>
      <c r="G125" s="12" t="n">
        <v>28.95</v>
      </c>
      <c r="H125" s="12" t="n">
        <v>29</v>
      </c>
      <c r="I125" s="12" t="n">
        <v>118.97</v>
      </c>
      <c r="J125" s="12" t="n">
        <v>120.44</v>
      </c>
      <c r="K125" s="12" t="n">
        <v>9.130000000000001</v>
      </c>
      <c r="L125" s="12" t="n">
        <v>78.8</v>
      </c>
      <c r="M125" s="12" t="n">
        <v>225.85</v>
      </c>
      <c r="N125" s="12" t="n">
        <v>6.29</v>
      </c>
      <c r="O125" s="12" t="n">
        <v>29.33</v>
      </c>
      <c r="P125" s="12" t="n">
        <v>26.12</v>
      </c>
      <c r="Q125" s="12" t="n">
        <v>56.58</v>
      </c>
      <c r="R125" s="12" t="n">
        <v>15.02</v>
      </c>
      <c r="S125" s="12" t="n">
        <v>18.43</v>
      </c>
      <c r="T125" s="12" t="n">
        <v>3.6728</v>
      </c>
    </row>
    <row r="126">
      <c r="A126" s="14" t="inlineStr">
        <is>
          <t>2025-12-26</t>
        </is>
      </c>
      <c r="B126" s="9" t="n">
        <v>36.55</v>
      </c>
      <c r="C126" s="9" t="n">
        <v>75.70999999999999</v>
      </c>
      <c r="D126" s="9" t="n">
        <v>27.76</v>
      </c>
      <c r="E126" s="9" t="n">
        <v>2.53</v>
      </c>
      <c r="F126" s="9" t="n">
        <v>14.3</v>
      </c>
      <c r="G126" s="9" t="n">
        <v>29</v>
      </c>
      <c r="H126" s="9" t="n">
        <v>29</v>
      </c>
      <c r="I126" s="9" t="n">
        <v>121.6</v>
      </c>
      <c r="J126" s="9" t="n">
        <v>118.13</v>
      </c>
      <c r="K126" s="9" t="n">
        <v>8.48</v>
      </c>
      <c r="L126" s="9" t="n">
        <v>78.66</v>
      </c>
      <c r="M126" s="9" t="n">
        <v>225.77</v>
      </c>
      <c r="N126" s="9" t="n">
        <v>6.35</v>
      </c>
      <c r="O126" s="9" t="n">
        <v>30</v>
      </c>
      <c r="P126" s="9" t="n">
        <v>26.24</v>
      </c>
      <c r="Q126" s="9" t="n">
        <v>55.98</v>
      </c>
      <c r="R126" s="9" t="n">
        <v>15.01</v>
      </c>
      <c r="S126" s="9" t="n">
        <v>17.95</v>
      </c>
      <c r="T126" s="9" t="n">
        <v>3.6728</v>
      </c>
    </row>
    <row r="127">
      <c r="A127" s="15" t="inlineStr">
        <is>
          <t>2025-12-29</t>
        </is>
      </c>
      <c r="B127" s="12" t="n">
        <v>36.47</v>
      </c>
      <c r="C127" s="12" t="n">
        <v>72.98</v>
      </c>
      <c r="D127" s="12" t="n">
        <v>27.76</v>
      </c>
      <c r="E127" s="12" t="n">
        <v>2.58</v>
      </c>
      <c r="F127" s="12" t="n">
        <v>14.3</v>
      </c>
      <c r="G127" s="12" t="n">
        <v>28.7</v>
      </c>
      <c r="H127" s="12" t="n">
        <v>29</v>
      </c>
      <c r="I127" s="12" t="n">
        <v>113.82</v>
      </c>
      <c r="J127" s="12" t="n">
        <v>117.43</v>
      </c>
      <c r="K127" s="12" t="n">
        <v>8.460000000000001</v>
      </c>
      <c r="L127" s="12" t="n">
        <v>78.01000000000001</v>
      </c>
      <c r="M127" s="12" t="n">
        <v>234.65</v>
      </c>
      <c r="N127" s="12" t="n">
        <v>6.33</v>
      </c>
      <c r="O127" s="12" t="n">
        <v>27.87</v>
      </c>
      <c r="P127" s="12" t="n">
        <v>26.02</v>
      </c>
      <c r="Q127" s="12" t="n">
        <v>55.91</v>
      </c>
      <c r="R127" s="12" t="n">
        <v>14.9</v>
      </c>
      <c r="S127" s="12" t="n">
        <v>17.31</v>
      </c>
      <c r="T127" s="12" t="n">
        <v>3.673225</v>
      </c>
    </row>
    <row r="128">
      <c r="A128" s="14" t="inlineStr">
        <is>
          <t>2025-12-30</t>
        </is>
      </c>
      <c r="B128" s="9" t="n">
        <v>36.37</v>
      </c>
      <c r="C128" s="9" t="n">
        <v>72.5</v>
      </c>
      <c r="D128" s="9" t="n">
        <v>27.76</v>
      </c>
      <c r="E128" s="9" t="n">
        <v>2.56</v>
      </c>
      <c r="F128" s="9" t="n">
        <v>13.9</v>
      </c>
      <c r="G128" s="9" t="n">
        <v>28.3</v>
      </c>
      <c r="H128" s="9" t="n">
        <v>29</v>
      </c>
      <c r="I128" s="9" t="n">
        <v>115.14</v>
      </c>
      <c r="J128" s="9" t="n">
        <v>115.45</v>
      </c>
      <c r="K128" s="9" t="n">
        <v>8.99</v>
      </c>
      <c r="L128" s="9" t="n">
        <v>77.87</v>
      </c>
      <c r="M128" s="9" t="n">
        <v>233.36</v>
      </c>
      <c r="N128" s="9" t="n">
        <v>6.32</v>
      </c>
      <c r="O128" s="9" t="n">
        <v>28.13</v>
      </c>
      <c r="P128" s="9" t="n">
        <v>26.06</v>
      </c>
      <c r="Q128" s="9" t="n">
        <v>54.7</v>
      </c>
      <c r="R128" s="9" t="n">
        <v>14.78</v>
      </c>
      <c r="S128" s="9" t="n">
        <v>17.12</v>
      </c>
      <c r="T128" s="9" t="n">
        <v>3.67285</v>
      </c>
    </row>
    <row r="129">
      <c r="A129" s="15" t="inlineStr">
        <is>
          <t>2025-12-31</t>
        </is>
      </c>
      <c r="B129" s="12" t="n">
        <v>35.98</v>
      </c>
      <c r="C129" s="12" t="n">
        <v>71.79000000000001</v>
      </c>
      <c r="D129" s="12" t="n">
        <v>27.76</v>
      </c>
      <c r="E129" s="12" t="n">
        <v>2.57</v>
      </c>
      <c r="F129" s="12" t="n">
        <v>14.05</v>
      </c>
      <c r="G129" s="12" t="n">
        <v>27.85</v>
      </c>
      <c r="H129" s="12" t="n">
        <v>29</v>
      </c>
      <c r="I129" s="12" t="n">
        <v>113.78</v>
      </c>
      <c r="J129" s="12" t="n">
        <v>113.1</v>
      </c>
      <c r="K129" s="12" t="n">
        <v>9.76</v>
      </c>
      <c r="L129" s="12" t="n">
        <v>76.48</v>
      </c>
      <c r="M129" s="12" t="n">
        <v>229.87</v>
      </c>
      <c r="N129" s="12" t="n">
        <v>6.35</v>
      </c>
      <c r="O129" s="12" t="n">
        <v>27.67</v>
      </c>
      <c r="P129" s="12" t="n">
        <v>25.94</v>
      </c>
      <c r="Q129" s="12" t="n">
        <v>54.89</v>
      </c>
      <c r="R129" s="12" t="n">
        <v>14.49</v>
      </c>
      <c r="S129" s="12" t="n">
        <v>17.41</v>
      </c>
      <c r="T129" s="12" t="n">
        <v>3.67285</v>
      </c>
    </row>
    <row r="130">
      <c r="A130" s="14" t="inlineStr">
        <is>
          <t>2026-01-01</t>
        </is>
      </c>
      <c r="B130" s="9" t="n">
        <v>35.98</v>
      </c>
      <c r="C130" s="9" t="n">
        <v>71.79000000000001</v>
      </c>
      <c r="D130" s="9" t="n">
        <v>27.76</v>
      </c>
      <c r="E130" s="9" t="n">
        <v>2.57</v>
      </c>
      <c r="F130" s="9" t="n">
        <v>14.05</v>
      </c>
      <c r="G130" s="9" t="n">
        <v>27.85</v>
      </c>
      <c r="H130" s="9" t="n">
        <v>29</v>
      </c>
      <c r="I130" s="9" t="n">
        <v>113.78</v>
      </c>
      <c r="J130" s="9" t="n">
        <v>113.1</v>
      </c>
      <c r="K130" s="9" t="n">
        <v>9.76</v>
      </c>
      <c r="L130" s="9" t="n">
        <v>76.48</v>
      </c>
      <c r="M130" s="9" t="n">
        <v>229.87</v>
      </c>
      <c r="N130" s="9" t="n">
        <v>6.35</v>
      </c>
      <c r="O130" s="9" t="n">
        <v>27.67</v>
      </c>
      <c r="P130" s="9" t="n">
        <v>25.94</v>
      </c>
      <c r="Q130" s="9" t="n">
        <v>54.89</v>
      </c>
      <c r="R130" s="9" t="n">
        <v>14.49</v>
      </c>
      <c r="S130" s="9" t="n">
        <v>17.41</v>
      </c>
      <c r="T130" s="9" t="n">
        <v>3.67285</v>
      </c>
    </row>
    <row r="131">
      <c r="A131" s="15" t="inlineStr">
        <is>
          <t>2026-01-02</t>
        </is>
      </c>
      <c r="B131" s="12" t="n">
        <v>36.93</v>
      </c>
      <c r="C131" s="12" t="n">
        <v>73.06</v>
      </c>
      <c r="D131" s="12" t="n">
        <v>27.76</v>
      </c>
      <c r="E131" s="12" t="n">
        <v>2.58</v>
      </c>
      <c r="F131" s="12" t="n">
        <v>14.2</v>
      </c>
      <c r="G131" s="12" t="n">
        <v>28.6</v>
      </c>
      <c r="H131" s="12" t="n">
        <v>29</v>
      </c>
      <c r="I131" s="12" t="n">
        <v>113.2</v>
      </c>
      <c r="J131" s="12" t="n">
        <v>115.21</v>
      </c>
      <c r="K131" s="12" t="n">
        <v>11.02</v>
      </c>
      <c r="L131" s="12" t="n">
        <v>75.47</v>
      </c>
      <c r="M131" s="12" t="n">
        <v>241.89</v>
      </c>
      <c r="N131" s="12" t="n">
        <v>6.42</v>
      </c>
      <c r="O131" s="12" t="n">
        <v>27.45</v>
      </c>
      <c r="P131" s="12" t="n">
        <v>27.37</v>
      </c>
      <c r="Q131" s="12" t="n">
        <v>60.45</v>
      </c>
      <c r="R131" s="12" t="n">
        <v>15.29</v>
      </c>
      <c r="S131" s="12" t="n">
        <v>18.93</v>
      </c>
      <c r="T131" s="12" t="n">
        <v>3.673</v>
      </c>
    </row>
    <row r="132">
      <c r="A132" s="14" t="inlineStr">
        <is>
          <t>2026-01-05</t>
        </is>
      </c>
      <c r="B132" s="9" t="n">
        <v>37.37</v>
      </c>
      <c r="C132" s="9" t="n">
        <v>76.65000000000001</v>
      </c>
      <c r="D132" s="9" t="n">
        <v>27.76</v>
      </c>
      <c r="E132" s="9" t="n">
        <v>2.55</v>
      </c>
      <c r="F132" s="9" t="n">
        <v>14.2</v>
      </c>
      <c r="G132" s="9" t="n">
        <v>29.2</v>
      </c>
      <c r="H132" s="9" t="n">
        <v>29</v>
      </c>
      <c r="I132" s="9" t="n">
        <v>117.34</v>
      </c>
      <c r="J132" s="9" t="n">
        <v>123.24</v>
      </c>
      <c r="K132" s="9" t="n">
        <v>12.53</v>
      </c>
      <c r="L132" s="9" t="n">
        <v>73.5</v>
      </c>
      <c r="M132" s="9" t="n">
        <v>244.05</v>
      </c>
      <c r="N132" s="9" t="n">
        <v>6.4</v>
      </c>
      <c r="O132" s="9" t="n">
        <v>28.68</v>
      </c>
      <c r="P132" s="9" t="n">
        <v>27.41</v>
      </c>
      <c r="Q132" s="9" t="n">
        <v>62.16</v>
      </c>
      <c r="R132" s="9" t="n">
        <v>15.42</v>
      </c>
      <c r="S132" s="9" t="n">
        <v>17.98</v>
      </c>
      <c r="T132" s="9" t="n">
        <v>3.6732</v>
      </c>
    </row>
    <row r="133">
      <c r="A133" s="15" t="inlineStr">
        <is>
          <t>2026-01-06</t>
        </is>
      </c>
      <c r="B133" s="12" t="n">
        <v>38.6</v>
      </c>
      <c r="C133" s="12" t="n">
        <v>78.06999999999999</v>
      </c>
      <c r="D133" s="12" t="n">
        <v>27.76</v>
      </c>
      <c r="E133" s="12" t="n">
        <v>2.55</v>
      </c>
      <c r="F133" s="12" t="n">
        <v>14.5</v>
      </c>
      <c r="G133" s="12" t="n">
        <v>29.25</v>
      </c>
      <c r="H133" s="12" t="n">
        <v>29</v>
      </c>
      <c r="I133" s="12" t="n">
        <v>121.88</v>
      </c>
      <c r="J133" s="12" t="n">
        <v>121.7</v>
      </c>
      <c r="K133" s="12" t="n">
        <v>12.84</v>
      </c>
      <c r="L133" s="12" t="n">
        <v>75.11</v>
      </c>
      <c r="M133" s="12" t="n">
        <v>253.81</v>
      </c>
      <c r="N133" s="12" t="n">
        <v>6.5</v>
      </c>
      <c r="O133" s="12" t="n">
        <v>30.34</v>
      </c>
      <c r="P133" s="12" t="n">
        <v>29.41</v>
      </c>
      <c r="Q133" s="12" t="n">
        <v>62.51</v>
      </c>
      <c r="R133" s="12" t="n">
        <v>16.56</v>
      </c>
      <c r="S133" s="12" t="n">
        <v>19.7</v>
      </c>
      <c r="T133" s="12" t="n">
        <v>3.672925</v>
      </c>
    </row>
    <row r="134">
      <c r="A134" s="14" t="inlineStr">
        <is>
          <t>2026-01-07</t>
        </is>
      </c>
      <c r="B134" s="9" t="n">
        <v>37.93</v>
      </c>
      <c r="C134" s="9" t="n">
        <v>75.90000000000001</v>
      </c>
      <c r="D134" s="9" t="n">
        <v>27.76</v>
      </c>
      <c r="E134" s="9" t="n">
        <v>2.57</v>
      </c>
      <c r="F134" s="9" t="n">
        <v>14.8</v>
      </c>
      <c r="G134" s="9" t="n">
        <v>29.4</v>
      </c>
      <c r="H134" s="9" t="n">
        <v>29</v>
      </c>
      <c r="I134" s="9" t="n">
        <v>120.19</v>
      </c>
      <c r="J134" s="9" t="n">
        <v>116.97</v>
      </c>
      <c r="K134" s="9" t="n">
        <v>12.18</v>
      </c>
      <c r="L134" s="9" t="n">
        <v>76.87</v>
      </c>
      <c r="M134" s="9" t="n">
        <v>255.5</v>
      </c>
      <c r="N134" s="9" t="n">
        <v>6.56</v>
      </c>
      <c r="O134" s="9" t="n">
        <v>29.75</v>
      </c>
      <c r="P134" s="9" t="n">
        <v>28.88</v>
      </c>
      <c r="Q134" s="9" t="n">
        <v>63.49</v>
      </c>
      <c r="R134" s="9" t="n">
        <v>16.2</v>
      </c>
      <c r="S134" s="9" t="n">
        <v>19.68</v>
      </c>
      <c r="T134" s="9" t="n">
        <v>3.673175</v>
      </c>
    </row>
    <row r="135">
      <c r="A135" s="15" t="inlineStr">
        <is>
          <t>2026-01-08</t>
        </is>
      </c>
      <c r="B135" s="12" t="n">
        <v>37.74</v>
      </c>
      <c r="C135" s="12" t="n">
        <v>75.62</v>
      </c>
      <c r="D135" s="12" t="n">
        <v>27.76</v>
      </c>
      <c r="E135" s="12" t="n">
        <v>2.58</v>
      </c>
      <c r="F135" s="12" t="n">
        <v>14.65</v>
      </c>
      <c r="G135" s="12" t="n">
        <v>29.45</v>
      </c>
      <c r="H135" s="12" t="n">
        <v>29</v>
      </c>
      <c r="I135" s="12" t="n">
        <v>120.98</v>
      </c>
      <c r="J135" s="12" t="n">
        <v>115.39</v>
      </c>
      <c r="K135" s="12" t="n">
        <v>14.01</v>
      </c>
      <c r="L135" s="12" t="n">
        <v>71.67</v>
      </c>
      <c r="M135" s="12" t="n">
        <v>253.95</v>
      </c>
      <c r="N135" s="12" t="n">
        <v>6.49</v>
      </c>
      <c r="O135" s="12" t="n">
        <v>29.51</v>
      </c>
      <c r="P135" s="12" t="n">
        <v>28.04</v>
      </c>
      <c r="Q135" s="12" t="n">
        <v>63.08</v>
      </c>
      <c r="R135" s="12" t="n">
        <v>16.08</v>
      </c>
      <c r="S135" s="12" t="n">
        <v>18.88</v>
      </c>
      <c r="T135" s="12" t="n">
        <v>3.673175</v>
      </c>
    </row>
    <row r="136">
      <c r="A136" s="14" t="inlineStr">
        <is>
          <t>2026-01-09</t>
        </is>
      </c>
      <c r="B136" s="9" t="n">
        <v>39.01</v>
      </c>
      <c r="C136" s="9" t="n">
        <v>77.54000000000001</v>
      </c>
      <c r="D136" s="9" t="n">
        <v>27.76</v>
      </c>
      <c r="E136" s="9" t="n">
        <v>2.56</v>
      </c>
      <c r="F136" s="9" t="n">
        <v>14.4</v>
      </c>
      <c r="G136" s="9" t="n">
        <v>29.35</v>
      </c>
      <c r="H136" s="9" t="n">
        <v>29</v>
      </c>
      <c r="I136" s="9" t="n">
        <v>121.95</v>
      </c>
      <c r="J136" s="9" t="n">
        <v>115.27</v>
      </c>
      <c r="K136" s="9" t="n">
        <v>13.69</v>
      </c>
      <c r="L136" s="9" t="n">
        <v>70.56</v>
      </c>
      <c r="M136" s="9" t="n">
        <v>244.56</v>
      </c>
      <c r="N136" s="9" t="n">
        <v>6.42</v>
      </c>
      <c r="O136" s="9" t="n">
        <v>30.56</v>
      </c>
      <c r="P136" s="9" t="n">
        <v>28.84</v>
      </c>
      <c r="Q136" s="9" t="n">
        <v>63.38</v>
      </c>
      <c r="R136" s="9" t="n">
        <v>16.19</v>
      </c>
      <c r="S136" s="9" t="n">
        <v>18.6</v>
      </c>
      <c r="T136" s="9" t="n">
        <v>3.673175</v>
      </c>
    </row>
    <row r="137">
      <c r="A137" s="15" t="inlineStr">
        <is>
          <t>2026-01-12</t>
        </is>
      </c>
      <c r="B137" s="12" t="n">
        <v>39.43</v>
      </c>
      <c r="C137" s="12" t="n">
        <v>80.06999999999999</v>
      </c>
      <c r="D137" s="12" t="n">
        <v>27.76</v>
      </c>
      <c r="E137" s="12" t="n">
        <v>2.59</v>
      </c>
      <c r="F137" s="12" t="n">
        <v>14.6</v>
      </c>
      <c r="G137" s="12" t="n">
        <v>29.75</v>
      </c>
      <c r="H137" s="12" t="n">
        <v>29</v>
      </c>
      <c r="I137" s="12" t="n">
        <v>126.3</v>
      </c>
      <c r="J137" s="12" t="n">
        <v>117.52</v>
      </c>
      <c r="K137" s="12" t="n">
        <v>13.19</v>
      </c>
      <c r="L137" s="12" t="n">
        <v>71.37</v>
      </c>
      <c r="M137" s="12" t="n">
        <v>244.02</v>
      </c>
      <c r="N137" s="12" t="n">
        <v>6.59</v>
      </c>
      <c r="O137" s="12" t="n">
        <v>32.21</v>
      </c>
      <c r="P137" s="12" t="n">
        <v>28.35</v>
      </c>
      <c r="Q137" s="12" t="n">
        <v>65.48</v>
      </c>
      <c r="R137" s="12" t="n">
        <v>16.08</v>
      </c>
      <c r="S137" s="12" t="n">
        <v>18.42</v>
      </c>
      <c r="T137" s="12" t="n">
        <v>3.6732</v>
      </c>
    </row>
    <row r="138">
      <c r="A138" s="14" t="inlineStr">
        <is>
          <t>2026-01-13</t>
        </is>
      </c>
      <c r="B138" s="9" t="n">
        <v>39.63</v>
      </c>
      <c r="C138" s="9" t="n">
        <v>79.84</v>
      </c>
      <c r="D138" s="9" t="n">
        <v>27.76</v>
      </c>
      <c r="E138" s="9" t="n">
        <v>2.64</v>
      </c>
      <c r="F138" s="9" t="n">
        <v>14.65</v>
      </c>
      <c r="G138" s="9" t="n">
        <v>30.25</v>
      </c>
      <c r="H138" s="9" t="n">
        <v>29</v>
      </c>
      <c r="I138" s="9" t="n">
        <v>126.16</v>
      </c>
      <c r="J138" s="9" t="n">
        <v>120.24</v>
      </c>
      <c r="K138" s="9" t="n">
        <v>13.89</v>
      </c>
      <c r="L138" s="9" t="n">
        <v>70.81999999999999</v>
      </c>
      <c r="M138" s="9" t="n">
        <v>258.93</v>
      </c>
      <c r="N138" s="9" t="n">
        <v>6.55</v>
      </c>
      <c r="O138" s="9" t="n">
        <v>32.12</v>
      </c>
      <c r="P138" s="9" t="n">
        <v>28.43</v>
      </c>
      <c r="Q138" s="9" t="n">
        <v>64.28</v>
      </c>
      <c r="R138" s="9" t="n">
        <v>16</v>
      </c>
      <c r="S138" s="9" t="n">
        <v>19.51</v>
      </c>
      <c r="T138" s="9" t="n">
        <v>3.672825</v>
      </c>
    </row>
    <row r="139">
      <c r="A139" s="15" t="inlineStr">
        <is>
          <t>2026-01-14</t>
        </is>
      </c>
      <c r="B139" s="12" t="n">
        <v>40.06</v>
      </c>
      <c r="C139" s="12" t="n">
        <v>82.39</v>
      </c>
      <c r="D139" s="12" t="n">
        <v>27.76</v>
      </c>
      <c r="E139" s="12" t="n">
        <v>2.64</v>
      </c>
      <c r="F139" s="12" t="n">
        <v>14.45</v>
      </c>
      <c r="G139" s="12" t="n">
        <v>29.8</v>
      </c>
      <c r="H139" s="12" t="n">
        <v>29</v>
      </c>
      <c r="I139" s="12" t="n">
        <v>126.68</v>
      </c>
      <c r="J139" s="12" t="n">
        <v>119.67</v>
      </c>
      <c r="K139" s="12" t="n">
        <v>13.56</v>
      </c>
      <c r="L139" s="12" t="n">
        <v>68.14</v>
      </c>
      <c r="M139" s="12" t="n">
        <v>252.38</v>
      </c>
      <c r="N139" s="12" t="n">
        <v>6.67</v>
      </c>
      <c r="O139" s="12" t="n">
        <v>32.28</v>
      </c>
      <c r="P139" s="12" t="n">
        <v>27.88</v>
      </c>
      <c r="Q139" s="12" t="n">
        <v>67.09999999999999</v>
      </c>
      <c r="R139" s="12" t="n">
        <v>17.05</v>
      </c>
      <c r="S139" s="12" t="n">
        <v>19.49</v>
      </c>
      <c r="T139" s="12" t="n">
        <v>3.673175</v>
      </c>
    </row>
    <row r="140">
      <c r="A140" s="14" t="inlineStr">
        <is>
          <t>2026-01-15</t>
        </is>
      </c>
      <c r="B140" s="9" t="n">
        <v>40.59</v>
      </c>
      <c r="C140" s="9" t="n">
        <v>82.04000000000001</v>
      </c>
      <c r="D140" s="9" t="n">
        <v>27.76</v>
      </c>
      <c r="E140" s="9" t="n">
        <v>2.64</v>
      </c>
      <c r="F140" s="9" t="n">
        <v>14.3</v>
      </c>
      <c r="G140" s="9" t="n">
        <v>30.1</v>
      </c>
      <c r="H140" s="9" t="n">
        <v>29</v>
      </c>
      <c r="I140" s="9" t="n">
        <v>127.15</v>
      </c>
      <c r="J140" s="9" t="n">
        <v>110.35</v>
      </c>
      <c r="K140" s="9" t="n">
        <v>12.82</v>
      </c>
      <c r="L140" s="9" t="n">
        <v>69.05</v>
      </c>
      <c r="M140" s="9" t="n">
        <v>228.75</v>
      </c>
      <c r="N140" s="9" t="n">
        <v>6.75</v>
      </c>
      <c r="O140" s="9" t="n">
        <v>32.85</v>
      </c>
      <c r="P140" s="9" t="n">
        <v>28</v>
      </c>
      <c r="Q140" s="9" t="n">
        <v>67.98999999999999</v>
      </c>
      <c r="R140" s="9" t="n">
        <v>17.87</v>
      </c>
      <c r="S140" s="9" t="n">
        <v>19.92</v>
      </c>
      <c r="T140" s="9" t="n">
        <v>3.67325</v>
      </c>
    </row>
    <row r="141">
      <c r="A141" s="15" t="inlineStr">
        <is>
          <t>2026-01-16</t>
        </is>
      </c>
      <c r="B141" s="12" t="n">
        <v>40.92</v>
      </c>
      <c r="C141" s="12" t="n">
        <v>80.77</v>
      </c>
      <c r="D141" s="12" t="n">
        <v>27.76</v>
      </c>
      <c r="E141" s="12" t="n">
        <v>2.7</v>
      </c>
      <c r="F141" s="12" t="n">
        <v>14.45</v>
      </c>
      <c r="G141" s="12" t="n">
        <v>30.5</v>
      </c>
      <c r="H141" s="12" t="n">
        <v>29</v>
      </c>
      <c r="I141" s="12" t="n">
        <v>128.07</v>
      </c>
      <c r="J141" s="12" t="n">
        <v>108.74</v>
      </c>
      <c r="K141" s="12" t="n">
        <v>12.16</v>
      </c>
      <c r="L141" s="12" t="n">
        <v>67.09999999999999</v>
      </c>
      <c r="M141" s="12" t="n">
        <v>231.01</v>
      </c>
      <c r="N141" s="12" t="n">
        <v>6.7</v>
      </c>
      <c r="O141" s="12" t="n">
        <v>33.5</v>
      </c>
      <c r="P141" s="12" t="n">
        <v>28.03</v>
      </c>
      <c r="Q141" s="12" t="n">
        <v>69.56999999999999</v>
      </c>
      <c r="R141" s="12" t="n">
        <v>18.29</v>
      </c>
      <c r="S141" s="12" t="n">
        <v>20.35</v>
      </c>
      <c r="T141" s="12" t="n">
        <v>3.67325</v>
      </c>
    </row>
    <row r="142">
      <c r="A142" s="14" t="inlineStr">
        <is>
          <t>2026-01-19</t>
        </is>
      </c>
      <c r="B142" s="9" t="n">
        <v>40.92</v>
      </c>
      <c r="C142" s="9" t="n">
        <v>80.77</v>
      </c>
      <c r="D142" s="9" t="n">
        <v>27.76</v>
      </c>
      <c r="E142" s="9" t="n">
        <v>2.74</v>
      </c>
      <c r="F142" s="9" t="n">
        <v>14.6</v>
      </c>
      <c r="G142" s="9" t="n">
        <v>30.15</v>
      </c>
      <c r="H142" s="9" t="n">
        <v>29</v>
      </c>
      <c r="I142" s="9" t="n">
        <v>128.07</v>
      </c>
      <c r="J142" s="9" t="n">
        <v>108.74</v>
      </c>
      <c r="K142" s="9" t="n">
        <v>12.16</v>
      </c>
      <c r="L142" s="9" t="n">
        <v>67.09999999999999</v>
      </c>
      <c r="M142" s="9" t="n">
        <v>231.01</v>
      </c>
      <c r="N142" s="9" t="n">
        <v>6.63</v>
      </c>
      <c r="O142" s="9" t="n">
        <v>33.5</v>
      </c>
      <c r="P142" s="9" t="n">
        <v>28.03</v>
      </c>
      <c r="Q142" s="9" t="n">
        <v>69.56999999999999</v>
      </c>
      <c r="R142" s="9" t="n">
        <v>18.29</v>
      </c>
      <c r="S142" s="9" t="n">
        <v>20.35</v>
      </c>
      <c r="T142" s="9" t="n">
        <v>3.6737</v>
      </c>
    </row>
    <row r="143">
      <c r="A143" s="15" t="inlineStr">
        <is>
          <t>2026-01-20</t>
        </is>
      </c>
      <c r="B143" s="12" t="n">
        <v>38.92</v>
      </c>
      <c r="C143" s="12" t="n">
        <v>82.25</v>
      </c>
      <c r="D143" s="12" t="n">
        <v>27.76</v>
      </c>
      <c r="E143" s="12" t="n">
        <v>2.8</v>
      </c>
      <c r="F143" s="12" t="n">
        <v>14.7</v>
      </c>
      <c r="G143" s="12" t="n">
        <v>30.15</v>
      </c>
      <c r="H143" s="12" t="n">
        <v>29</v>
      </c>
      <c r="I143" s="12" t="n">
        <v>136</v>
      </c>
      <c r="J143" s="12" t="n">
        <v>105.78</v>
      </c>
      <c r="K143" s="12" t="n">
        <v>13.13</v>
      </c>
      <c r="L143" s="12" t="n">
        <v>64.88</v>
      </c>
      <c r="M143" s="12" t="n">
        <v>225.36</v>
      </c>
      <c r="N143" s="12" t="n">
        <v>6.48</v>
      </c>
      <c r="O143" s="12" t="n">
        <v>35.34</v>
      </c>
      <c r="P143" s="12" t="n">
        <v>27.12</v>
      </c>
      <c r="Q143" s="12" t="n">
        <v>70.59</v>
      </c>
      <c r="R143" s="12" t="n">
        <v>17.86</v>
      </c>
      <c r="S143" s="12" t="n">
        <v>20.5</v>
      </c>
      <c r="T143" s="12" t="n">
        <v>3.67275</v>
      </c>
    </row>
    <row r="144">
      <c r="A144" s="14" t="inlineStr">
        <is>
          <t>2026-01-21</t>
        </is>
      </c>
      <c r="B144" s="9" t="n">
        <v>40.41</v>
      </c>
      <c r="C144" s="9" t="n">
        <v>83.97</v>
      </c>
      <c r="D144" s="9" t="n">
        <v>27.76</v>
      </c>
      <c r="E144" s="9" t="n">
        <v>2.81</v>
      </c>
      <c r="F144" s="9" t="n">
        <v>14.65</v>
      </c>
      <c r="G144" s="9" t="n">
        <v>30.6</v>
      </c>
      <c r="H144" s="9" t="n">
        <v>29</v>
      </c>
      <c r="I144" s="9" t="n">
        <v>134.74</v>
      </c>
      <c r="J144" s="9" t="n">
        <v>105.92</v>
      </c>
      <c r="K144" s="9" t="n">
        <v>12.55</v>
      </c>
      <c r="L144" s="9" t="n">
        <v>64.34999999999999</v>
      </c>
      <c r="M144" s="9" t="n">
        <v>210.13</v>
      </c>
      <c r="N144" s="9" t="n">
        <v>6.52</v>
      </c>
      <c r="O144" s="9" t="n">
        <v>34.93</v>
      </c>
      <c r="P144" s="9" t="n">
        <v>28.52</v>
      </c>
      <c r="Q144" s="9" t="n">
        <v>74.38</v>
      </c>
      <c r="R144" s="9" t="n">
        <v>19.05</v>
      </c>
      <c r="S144" s="9" t="n">
        <v>19.48</v>
      </c>
      <c r="T144" s="9" t="n">
        <v>3.6732</v>
      </c>
    </row>
    <row r="145">
      <c r="A145" s="15" t="inlineStr">
        <is>
          <t>2026-01-22</t>
        </is>
      </c>
      <c r="B145" s="12" t="n">
        <v>41.71</v>
      </c>
      <c r="C145" s="12" t="n">
        <v>82.23</v>
      </c>
      <c r="D145" s="12" t="n">
        <v>27.76</v>
      </c>
      <c r="E145" s="12" t="n">
        <v>2.8</v>
      </c>
      <c r="F145" s="12" t="n">
        <v>15</v>
      </c>
      <c r="G145" s="12" t="n">
        <v>31.15</v>
      </c>
      <c r="H145" s="12" t="n">
        <v>29</v>
      </c>
      <c r="I145" s="12" t="n">
        <v>142.09</v>
      </c>
      <c r="J145" s="12" t="n">
        <v>106.25</v>
      </c>
      <c r="K145" s="12" t="n">
        <v>12.62</v>
      </c>
      <c r="L145" s="12" t="n">
        <v>65.09999999999999</v>
      </c>
      <c r="M145" s="12" t="n">
        <v>214.54</v>
      </c>
      <c r="N145" s="12" t="n">
        <v>6.6</v>
      </c>
      <c r="O145" s="12" t="n">
        <v>37.63</v>
      </c>
      <c r="P145" s="12" t="n">
        <v>29.03</v>
      </c>
      <c r="Q145" s="12" t="n">
        <v>75.3</v>
      </c>
      <c r="R145" s="12" t="n">
        <v>19.08</v>
      </c>
      <c r="S145" s="12" t="n">
        <v>19.18</v>
      </c>
      <c r="T145" s="12" t="n">
        <v>3.6736</v>
      </c>
    </row>
    <row r="146">
      <c r="A146" s="14" t="inlineStr">
        <is>
          <t>2026-01-23</t>
        </is>
      </c>
      <c r="B146" s="9" t="n">
        <v>39.76</v>
      </c>
      <c r="C146" s="9" t="n">
        <v>86.01000000000001</v>
      </c>
      <c r="D146" s="9" t="n">
        <v>27.76</v>
      </c>
      <c r="E146" s="9" t="n">
        <v>2.79</v>
      </c>
      <c r="F146" s="9" t="n">
        <v>15</v>
      </c>
      <c r="G146" s="9" t="n">
        <v>31.1</v>
      </c>
      <c r="H146" s="9" t="n">
        <v>29</v>
      </c>
      <c r="I146" s="9" t="n">
        <v>145.03</v>
      </c>
      <c r="J146" s="9" t="n">
        <v>106.99</v>
      </c>
      <c r="K146" s="9" t="n">
        <v>12.17</v>
      </c>
      <c r="L146" s="9" t="n">
        <v>65.67</v>
      </c>
      <c r="M146" s="9" t="n">
        <v>218.88</v>
      </c>
      <c r="N146" s="9" t="n">
        <v>6.61</v>
      </c>
      <c r="O146" s="9" t="n">
        <v>38.74</v>
      </c>
      <c r="P146" s="9" t="n">
        <v>29.05</v>
      </c>
      <c r="Q146" s="9" t="n">
        <v>75.95</v>
      </c>
      <c r="R146" s="9" t="n">
        <v>18.45</v>
      </c>
      <c r="S146" s="9" t="n">
        <v>17.96</v>
      </c>
      <c r="T146" s="9" t="n">
        <v>3.6736</v>
      </c>
    </row>
    <row r="147">
      <c r="A147" s="15" t="inlineStr">
        <is>
          <t>2026-01-26</t>
        </is>
      </c>
      <c r="B147" s="12" t="n">
        <v>39.37</v>
      </c>
      <c r="C147" s="12" t="n">
        <v>88.08</v>
      </c>
      <c r="D147" s="12" t="n">
        <v>27.76</v>
      </c>
      <c r="E147" s="12" t="n">
        <v>2.8</v>
      </c>
      <c r="F147" s="12" t="n">
        <v>14.85</v>
      </c>
      <c r="G147" s="12" t="n">
        <v>31.05</v>
      </c>
      <c r="H147" s="12" t="n">
        <v>29</v>
      </c>
      <c r="I147" s="12" t="n">
        <v>144.29</v>
      </c>
      <c r="J147" s="12" t="n">
        <v>107</v>
      </c>
      <c r="K147" s="12" t="n">
        <v>11.16</v>
      </c>
      <c r="L147" s="12" t="n">
        <v>68.31999999999999</v>
      </c>
      <c r="M147" s="12" t="n">
        <v>213.63</v>
      </c>
      <c r="N147" s="12" t="n">
        <v>6.5</v>
      </c>
      <c r="O147" s="12" t="n">
        <v>38.35</v>
      </c>
      <c r="P147" s="12" t="n">
        <v>28.6</v>
      </c>
      <c r="Q147" s="12" t="n">
        <v>73.69</v>
      </c>
      <c r="R147" s="12" t="n">
        <v>18.03</v>
      </c>
      <c r="S147" s="12" t="n">
        <v>17.4</v>
      </c>
      <c r="T147" s="12" t="n">
        <v>3.6726</v>
      </c>
    </row>
    <row r="148">
      <c r="A148" s="14" t="inlineStr">
        <is>
          <t>2026-01-27</t>
        </is>
      </c>
      <c r="B148" s="9" t="n">
        <v>39.46</v>
      </c>
      <c r="C148" s="9" t="n">
        <v>90.42</v>
      </c>
      <c r="D148" s="9" t="n">
        <v>27.76</v>
      </c>
      <c r="E148" s="9" t="n">
        <v>2.81</v>
      </c>
      <c r="F148" s="9" t="n">
        <v>15.05</v>
      </c>
      <c r="G148" s="9" t="n">
        <v>30.85</v>
      </c>
      <c r="H148" s="9" t="n">
        <v>29</v>
      </c>
      <c r="I148" s="9" t="n">
        <v>147.42</v>
      </c>
      <c r="J148" s="9" t="n">
        <v>105.24</v>
      </c>
      <c r="K148" s="9" t="n">
        <v>12.26</v>
      </c>
      <c r="L148" s="9" t="n">
        <v>62.26</v>
      </c>
      <c r="M148" s="9" t="n">
        <v>196.3</v>
      </c>
      <c r="N148" s="9" t="n">
        <v>6.43</v>
      </c>
      <c r="O148" s="9" t="n">
        <v>38.61</v>
      </c>
      <c r="P148" s="9" t="n">
        <v>29.36</v>
      </c>
      <c r="Q148" s="9" t="n">
        <v>77.42</v>
      </c>
      <c r="R148" s="9" t="n">
        <v>18.48</v>
      </c>
      <c r="S148" s="9" t="n">
        <v>18</v>
      </c>
      <c r="T148" s="9" t="n">
        <v>3.67275</v>
      </c>
    </row>
    <row r="149">
      <c r="A149" s="15" t="inlineStr">
        <is>
          <t>2026-01-28</t>
        </is>
      </c>
      <c r="B149" s="12" t="n">
        <v>39.05</v>
      </c>
      <c r="C149" s="12" t="n">
        <v>91.98</v>
      </c>
      <c r="D149" s="12" t="n">
        <v>27.76</v>
      </c>
      <c r="E149" s="12" t="n">
        <v>2.83</v>
      </c>
      <c r="F149" s="12" t="n">
        <v>15.4</v>
      </c>
      <c r="G149" s="12" t="n">
        <v>31.15</v>
      </c>
      <c r="H149" s="12" t="n">
        <v>29</v>
      </c>
      <c r="I149" s="12" t="n">
        <v>150.42</v>
      </c>
      <c r="J149" s="12" t="n">
        <v>103.4</v>
      </c>
      <c r="K149" s="12" t="n">
        <v>12.27</v>
      </c>
      <c r="L149" s="12" t="n">
        <v>63.19</v>
      </c>
      <c r="M149" s="12" t="n">
        <v>193.14</v>
      </c>
      <c r="N149" s="12" t="n">
        <v>6.5</v>
      </c>
      <c r="O149" s="12" t="n">
        <v>39.02</v>
      </c>
      <c r="P149" s="12" t="n">
        <v>30.33</v>
      </c>
      <c r="Q149" s="12" t="n">
        <v>83.98999999999999</v>
      </c>
      <c r="R149" s="12" t="n">
        <v>19.27</v>
      </c>
      <c r="S149" s="12" t="n">
        <v>17.46</v>
      </c>
      <c r="T149" s="12" t="n">
        <v>3.673175</v>
      </c>
    </row>
    <row r="150">
      <c r="A150" s="14" t="inlineStr">
        <is>
          <t>2026-01-29</t>
        </is>
      </c>
      <c r="B150" s="9" t="n">
        <v>39.09</v>
      </c>
      <c r="C150" s="9" t="n">
        <v>94.23</v>
      </c>
      <c r="D150" s="9" t="n">
        <v>27.76</v>
      </c>
      <c r="E150" s="9" t="n">
        <v>2.82</v>
      </c>
      <c r="F150" s="9" t="n">
        <v>15.3</v>
      </c>
      <c r="G150" s="9" t="n">
        <v>31</v>
      </c>
      <c r="H150" s="9" t="n">
        <v>29</v>
      </c>
      <c r="I150" s="9" t="n">
        <v>143.68</v>
      </c>
      <c r="J150" s="9" t="n">
        <v>101.24</v>
      </c>
      <c r="K150" s="9" t="n">
        <v>11.27</v>
      </c>
      <c r="L150" s="9" t="n">
        <v>57.97</v>
      </c>
      <c r="M150" s="9" t="n">
        <v>190.05</v>
      </c>
      <c r="N150" s="9" t="n">
        <v>6.41</v>
      </c>
      <c r="O150" s="9" t="n">
        <v>37.42</v>
      </c>
      <c r="P150" s="9" t="n">
        <v>28.62</v>
      </c>
      <c r="Q150" s="9" t="n">
        <v>81.09</v>
      </c>
      <c r="R150" s="9" t="n">
        <v>20.17</v>
      </c>
      <c r="S150" s="9" t="n">
        <v>17.33</v>
      </c>
      <c r="T150" s="9" t="n">
        <v>3.672875</v>
      </c>
    </row>
    <row r="151">
      <c r="A151" s="15" t="inlineStr">
        <is>
          <t>2026-01-30</t>
        </is>
      </c>
      <c r="B151" s="12" t="n">
        <v>38.74</v>
      </c>
      <c r="C151" s="12" t="n">
        <v>84.81</v>
      </c>
      <c r="D151" s="12" t="n">
        <v>27.76</v>
      </c>
      <c r="E151" s="12" t="n">
        <v>2.84</v>
      </c>
      <c r="F151" s="12" t="n">
        <v>15</v>
      </c>
      <c r="G151" s="12" t="n">
        <v>31.1</v>
      </c>
      <c r="H151" s="12" t="n">
        <v>29</v>
      </c>
      <c r="I151" s="12" t="n">
        <v>124.09</v>
      </c>
      <c r="J151" s="12" t="n">
        <v>99.48</v>
      </c>
      <c r="K151" s="12" t="n">
        <v>10.36</v>
      </c>
      <c r="L151" s="12" t="n">
        <v>55.95</v>
      </c>
      <c r="M151" s="12" t="n">
        <v>180.27</v>
      </c>
      <c r="N151" s="12" t="n">
        <v>6.38</v>
      </c>
      <c r="O151" s="12" t="n">
        <v>31.8</v>
      </c>
      <c r="P151" s="12" t="n">
        <v>27.89</v>
      </c>
      <c r="Q151" s="12" t="n">
        <v>74.36</v>
      </c>
      <c r="R151" s="12" t="n">
        <v>20.15</v>
      </c>
      <c r="S151" s="12" t="n">
        <v>15.66</v>
      </c>
      <c r="T151" s="12" t="n">
        <v>3.672875</v>
      </c>
    </row>
    <row r="152">
      <c r="A152" s="14" t="inlineStr">
        <is>
          <t>2026-02-02</t>
        </is>
      </c>
      <c r="B152" s="9" t="n">
        <v>39.76</v>
      </c>
      <c r="C152" s="9" t="n">
        <v>85.2</v>
      </c>
      <c r="D152" s="9" t="n">
        <v>27.76</v>
      </c>
      <c r="E152" s="9" t="n">
        <v>2.86</v>
      </c>
      <c r="F152" s="9" t="n">
        <v>15.6</v>
      </c>
      <c r="G152" s="9" t="n">
        <v>33</v>
      </c>
      <c r="H152" s="9" t="n">
        <v>29</v>
      </c>
      <c r="I152" s="9" t="n">
        <v>124.08</v>
      </c>
      <c r="J152" s="9" t="n">
        <v>89.91</v>
      </c>
      <c r="K152" s="9" t="n">
        <v>10.64</v>
      </c>
      <c r="L152" s="9" t="n">
        <v>54.45</v>
      </c>
      <c r="M152" s="9" t="n">
        <v>177.15</v>
      </c>
      <c r="N152" s="9" t="n">
        <v>6.48</v>
      </c>
      <c r="O152" s="9" t="n">
        <v>31.52</v>
      </c>
      <c r="P152" s="9" t="n">
        <v>28.77</v>
      </c>
      <c r="Q152" s="9" t="n">
        <v>71.7</v>
      </c>
      <c r="R152" s="9" t="n">
        <v>20.67</v>
      </c>
      <c r="S152" s="9" t="n">
        <v>16.62</v>
      </c>
      <c r="T152" s="9" t="n">
        <v>3.672875</v>
      </c>
    </row>
    <row r="153">
      <c r="A153" s="15" t="inlineStr">
        <is>
          <t>2026-02-03</t>
        </is>
      </c>
      <c r="B153" s="12" t="n">
        <v>40.85</v>
      </c>
      <c r="C153" s="12" t="n">
        <v>90.76000000000001</v>
      </c>
      <c r="D153" s="12" t="n">
        <v>27.76</v>
      </c>
      <c r="E153" s="12" t="n">
        <v>2.87</v>
      </c>
      <c r="F153" s="12" t="n">
        <v>15.8</v>
      </c>
      <c r="G153" s="12" t="n">
        <v>32.5</v>
      </c>
      <c r="H153" s="12" t="n">
        <v>29</v>
      </c>
      <c r="I153" s="12" t="n">
        <v>129.86</v>
      </c>
      <c r="J153" s="12" t="n">
        <v>87.06999999999999</v>
      </c>
      <c r="K153" s="12" t="n">
        <v>11.38</v>
      </c>
      <c r="L153" s="12" t="n">
        <v>52.15</v>
      </c>
      <c r="M153" s="12" t="n">
        <v>165.41</v>
      </c>
      <c r="N153" s="12" t="n">
        <v>6.65</v>
      </c>
      <c r="O153" s="12" t="n">
        <v>33.73</v>
      </c>
      <c r="P153" s="12" t="n">
        <v>27.86</v>
      </c>
      <c r="Q153" s="12" t="n">
        <v>76.45</v>
      </c>
      <c r="R153" s="12" t="n">
        <v>20.74</v>
      </c>
      <c r="S153" s="12" t="n">
        <v>17</v>
      </c>
      <c r="T153" s="12" t="n">
        <v>3.672675</v>
      </c>
    </row>
    <row r="154">
      <c r="A154" s="14" t="inlineStr">
        <is>
          <t>2026-02-04</t>
        </is>
      </c>
      <c r="B154" s="9" t="n">
        <v>40.73</v>
      </c>
      <c r="C154" s="9" t="n">
        <v>86.61</v>
      </c>
      <c r="D154" s="9" t="n">
        <v>27.76</v>
      </c>
      <c r="E154" s="9" t="n">
        <v>2.87</v>
      </c>
      <c r="F154" s="9" t="n">
        <v>15.9</v>
      </c>
      <c r="G154" s="9" t="n">
        <v>33.5</v>
      </c>
      <c r="H154" s="9" t="n">
        <v>29</v>
      </c>
      <c r="I154" s="9" t="n">
        <v>130.35</v>
      </c>
      <c r="J154" s="9" t="n">
        <v>80.62</v>
      </c>
      <c r="K154" s="9" t="n">
        <v>9.68</v>
      </c>
      <c r="L154" s="9" t="n">
        <v>51.87</v>
      </c>
      <c r="M154" s="9" t="n">
        <v>152.69</v>
      </c>
      <c r="N154" s="9" t="n">
        <v>6.6</v>
      </c>
      <c r="O154" s="9" t="n">
        <v>33.47</v>
      </c>
      <c r="P154" s="9" t="n">
        <v>29.33</v>
      </c>
      <c r="Q154" s="9" t="n">
        <v>70.06</v>
      </c>
      <c r="R154" s="9" t="n">
        <v>19.86</v>
      </c>
      <c r="S154" s="9" t="n">
        <v>17.2</v>
      </c>
      <c r="T154" s="9" t="n">
        <v>3.6737</v>
      </c>
    </row>
    <row r="155">
      <c r="A155" s="15" t="inlineStr">
        <is>
          <t>2026-02-05</t>
        </is>
      </c>
      <c r="B155" s="12" t="n">
        <v>39.49</v>
      </c>
      <c r="C155" s="12" t="n">
        <v>81.31</v>
      </c>
      <c r="D155" s="12" t="n">
        <v>27.76</v>
      </c>
      <c r="E155" s="12" t="n">
        <v>2.85</v>
      </c>
      <c r="F155" s="12" t="n">
        <v>16</v>
      </c>
      <c r="G155" s="12" t="n">
        <v>34</v>
      </c>
      <c r="H155" s="12" t="n">
        <v>29</v>
      </c>
      <c r="I155" s="12" t="n">
        <v>121.17</v>
      </c>
      <c r="J155" s="12" t="n">
        <v>72.68000000000001</v>
      </c>
      <c r="K155" s="12" t="n">
        <v>8.48</v>
      </c>
      <c r="L155" s="12" t="n">
        <v>48.34</v>
      </c>
      <c r="M155" s="12" t="n">
        <v>151.05</v>
      </c>
      <c r="N155" s="12" t="n">
        <v>6.52</v>
      </c>
      <c r="O155" s="12" t="n">
        <v>30.56</v>
      </c>
      <c r="P155" s="12" t="n">
        <v>28.98</v>
      </c>
      <c r="Q155" s="12" t="n">
        <v>65.72</v>
      </c>
      <c r="R155" s="12" t="n">
        <v>19.65</v>
      </c>
      <c r="S155" s="12" t="n">
        <v>15.53</v>
      </c>
      <c r="T155" s="12" t="n">
        <v>3.673575</v>
      </c>
    </row>
    <row r="156">
      <c r="A156" s="14" t="inlineStr">
        <is>
          <t>2026-02-06</t>
        </is>
      </c>
      <c r="B156" s="9" t="n">
        <v>42.37</v>
      </c>
      <c r="C156" s="9" t="n">
        <v>84.68000000000001</v>
      </c>
      <c r="D156" s="9" t="n">
        <v>27.76</v>
      </c>
      <c r="E156" s="9" t="n">
        <v>2.84</v>
      </c>
      <c r="F156" s="9" t="n">
        <v>15.95</v>
      </c>
      <c r="G156" s="9" t="n">
        <v>34.05</v>
      </c>
      <c r="H156" s="9" t="n">
        <v>33.76</v>
      </c>
      <c r="I156" s="9" t="n">
        <v>128.56</v>
      </c>
      <c r="J156" s="9" t="n">
        <v>82.81999999999999</v>
      </c>
      <c r="K156" s="9" t="n">
        <v>9.69</v>
      </c>
      <c r="L156" s="9" t="n">
        <v>51.07</v>
      </c>
      <c r="M156" s="9" t="n">
        <v>139.83</v>
      </c>
      <c r="N156" s="9" t="n">
        <v>6.66</v>
      </c>
      <c r="O156" s="9" t="n">
        <v>32.77</v>
      </c>
      <c r="P156" s="9" t="n">
        <v>29.85</v>
      </c>
      <c r="Q156" s="9" t="n">
        <v>68.59999999999999</v>
      </c>
      <c r="R156" s="9" t="n">
        <v>19.95</v>
      </c>
      <c r="S156" s="9" t="n">
        <v>15.74</v>
      </c>
      <c r="T156" s="9" t="n">
        <v>3.673575</v>
      </c>
    </row>
    <row r="157">
      <c r="A157" s="15" t="inlineStr">
        <is>
          <t>2026-02-09</t>
        </is>
      </c>
      <c r="B157" s="12" t="n">
        <v>43.72</v>
      </c>
      <c r="C157" s="12" t="n">
        <v>89.03</v>
      </c>
      <c r="D157" s="12" t="n">
        <v>27.76</v>
      </c>
      <c r="E157" s="12" t="n">
        <v>2.84</v>
      </c>
      <c r="F157" s="12" t="n">
        <v>16.4</v>
      </c>
      <c r="G157" s="12" t="n">
        <v>33.6</v>
      </c>
      <c r="H157" s="12" t="n">
        <v>33.5</v>
      </c>
      <c r="I157" s="12" t="n">
        <v>136.9</v>
      </c>
      <c r="J157" s="12" t="n">
        <v>86.56</v>
      </c>
      <c r="K157" s="12" t="n">
        <v>10.34</v>
      </c>
      <c r="L157" s="12" t="n">
        <v>54.06</v>
      </c>
      <c r="M157" s="12" t="n">
        <v>141.74</v>
      </c>
      <c r="N157" s="12" t="n">
        <v>6.73</v>
      </c>
      <c r="O157" s="12" t="n">
        <v>34.71</v>
      </c>
      <c r="P157" s="12" t="n">
        <v>32.51</v>
      </c>
      <c r="Q157" s="12" t="n">
        <v>72.56999999999999</v>
      </c>
      <c r="R157" s="12" t="n">
        <v>19.48</v>
      </c>
      <c r="S157" s="12" t="n">
        <v>14.89</v>
      </c>
      <c r="T157" s="12" t="n">
        <v>3.6727</v>
      </c>
    </row>
    <row r="158">
      <c r="A158" s="14" t="inlineStr">
        <is>
          <t>2026-02-10</t>
        </is>
      </c>
      <c r="B158" s="9" t="n">
        <v>43.58</v>
      </c>
      <c r="C158" s="9" t="n">
        <v>88.23</v>
      </c>
      <c r="D158" s="9" t="n">
        <v>27.76</v>
      </c>
      <c r="E158" s="9" t="n">
        <v>2.84</v>
      </c>
      <c r="F158" s="9" t="n">
        <v>16.5</v>
      </c>
      <c r="G158" s="9" t="n">
        <v>34</v>
      </c>
      <c r="H158" s="9" t="n">
        <v>30.95</v>
      </c>
      <c r="I158" s="9" t="n">
        <v>136.33</v>
      </c>
      <c r="J158" s="9" t="n">
        <v>85.59999999999999</v>
      </c>
      <c r="K158" s="9" t="n">
        <v>9.68</v>
      </c>
      <c r="L158" s="9" t="n">
        <v>55.83</v>
      </c>
      <c r="M158" s="9" t="n">
        <v>149.98</v>
      </c>
      <c r="N158" s="9" t="n">
        <v>6.56</v>
      </c>
      <c r="O158" s="9" t="n">
        <v>34.38</v>
      </c>
      <c r="P158" s="9" t="n">
        <v>33.44</v>
      </c>
      <c r="Q158" s="9" t="n">
        <v>70.88</v>
      </c>
      <c r="R158" s="9" t="n">
        <v>19.36</v>
      </c>
      <c r="S158" s="9" t="n">
        <v>15.8</v>
      </c>
      <c r="T158" s="9" t="n">
        <v>3.6734</v>
      </c>
    </row>
    <row r="159">
      <c r="A159" s="15" t="inlineStr">
        <is>
          <t>2026-02-11</t>
        </is>
      </c>
      <c r="B159" s="12" t="n">
        <v>43.03</v>
      </c>
      <c r="C159" s="12" t="n">
        <v>90.12</v>
      </c>
      <c r="D159" s="12" t="n">
        <v>27.76</v>
      </c>
      <c r="E159" s="12" t="n">
        <v>2.82</v>
      </c>
      <c r="F159" s="12" t="n">
        <v>16.4</v>
      </c>
      <c r="G159" s="12" t="n">
        <v>34.65</v>
      </c>
      <c r="H159" s="12" t="n">
        <v>33.03</v>
      </c>
      <c r="I159" s="12" t="n">
        <v>141.17</v>
      </c>
      <c r="J159" s="12" t="n">
        <v>77.97</v>
      </c>
      <c r="K159" s="12" t="n">
        <v>9.23</v>
      </c>
      <c r="L159" s="12" t="n">
        <v>55.12</v>
      </c>
      <c r="M159" s="12" t="n">
        <v>139.29</v>
      </c>
      <c r="N159" s="12" t="n">
        <v>6.44</v>
      </c>
      <c r="O159" s="12" t="n">
        <v>35.19</v>
      </c>
      <c r="P159" s="12" t="n">
        <v>34.95</v>
      </c>
      <c r="Q159" s="12" t="n">
        <v>72.09999999999999</v>
      </c>
      <c r="R159" s="12" t="n">
        <v>20.19</v>
      </c>
      <c r="S159" s="12" t="n">
        <v>18.03</v>
      </c>
      <c r="T159" s="12" t="n">
        <v>3.672525</v>
      </c>
    </row>
    <row r="160">
      <c r="A160" s="14" t="inlineStr">
        <is>
          <t>2026-02-12</t>
        </is>
      </c>
      <c r="B160" s="9" t="n">
        <v>58.67</v>
      </c>
      <c r="C160" s="9" t="n">
        <v>87.15000000000001</v>
      </c>
      <c r="D160" s="9" t="n">
        <v>27.76</v>
      </c>
      <c r="E160" s="9" t="n">
        <v>2.84</v>
      </c>
      <c r="F160" s="9" t="n">
        <v>16.3</v>
      </c>
      <c r="G160" s="9" t="n">
        <v>35.5</v>
      </c>
      <c r="H160" s="9" t="n">
        <v>31.73</v>
      </c>
      <c r="I160" s="9" t="n">
        <v>128.85</v>
      </c>
      <c r="J160" s="9" t="n">
        <v>71.12</v>
      </c>
      <c r="K160" s="9" t="n">
        <v>8.970000000000001</v>
      </c>
      <c r="L160" s="9" t="n">
        <v>53.19</v>
      </c>
      <c r="M160" s="9" t="n">
        <v>131.07</v>
      </c>
      <c r="N160" s="9" t="n">
        <v>6.47</v>
      </c>
      <c r="O160" s="9" t="n">
        <v>32.02</v>
      </c>
      <c r="P160" s="9" t="n">
        <v>33.61</v>
      </c>
      <c r="Q160" s="9" t="n">
        <v>69.31</v>
      </c>
      <c r="R160" s="9" t="n">
        <v>19.38</v>
      </c>
      <c r="S160" s="9" t="n">
        <v>16</v>
      </c>
      <c r="T160" s="9" t="n">
        <v>3.67305</v>
      </c>
    </row>
    <row r="161">
      <c r="A161" s="15" t="inlineStr">
        <is>
          <t>2026-02-13</t>
        </is>
      </c>
      <c r="B161" s="12" t="n">
        <v>58.79</v>
      </c>
      <c r="C161" s="12" t="n">
        <v>87.94</v>
      </c>
      <c r="D161" s="12" t="n">
        <v>27.76</v>
      </c>
      <c r="E161" s="12" t="n">
        <v>2.83</v>
      </c>
      <c r="F161" s="12" t="n">
        <v>16.5</v>
      </c>
      <c r="G161" s="12" t="n">
        <v>35.75</v>
      </c>
      <c r="H161" s="12" t="n">
        <v>33.59</v>
      </c>
      <c r="I161" s="12" t="n">
        <v>136.34</v>
      </c>
      <c r="J161" s="12" t="n">
        <v>75.97</v>
      </c>
      <c r="K161" s="12" t="n">
        <v>9.31</v>
      </c>
      <c r="L161" s="12" t="n">
        <v>54.55</v>
      </c>
      <c r="M161" s="12" t="n">
        <v>139.65</v>
      </c>
      <c r="N161" s="12" t="n">
        <v>6.6</v>
      </c>
      <c r="O161" s="12" t="n">
        <v>33.79</v>
      </c>
      <c r="P161" s="12" t="n">
        <v>33.61</v>
      </c>
      <c r="Q161" s="12" t="n">
        <v>68.95999999999999</v>
      </c>
      <c r="R161" s="12" t="n">
        <v>18.88</v>
      </c>
      <c r="S161" s="12" t="n">
        <v>17.74</v>
      </c>
      <c r="T161" s="12" t="n">
        <v>3.67305</v>
      </c>
    </row>
    <row r="162">
      <c r="A162" s="14" t="inlineStr">
        <is>
          <t>2026-02-16</t>
        </is>
      </c>
      <c r="B162" s="9" t="n">
        <v>58.79</v>
      </c>
      <c r="C162" s="9" t="n">
        <v>87.94</v>
      </c>
      <c r="D162" s="9" t="n">
        <v>27.76</v>
      </c>
      <c r="E162" s="9" t="n">
        <v>2.84</v>
      </c>
      <c r="F162" s="9" t="n">
        <v>16.3</v>
      </c>
      <c r="G162" s="9" t="n">
        <v>36.75</v>
      </c>
      <c r="H162" s="9" t="n">
        <v>33.59</v>
      </c>
      <c r="I162" s="9" t="n">
        <v>136.34</v>
      </c>
      <c r="J162" s="9" t="n">
        <v>75.97</v>
      </c>
      <c r="K162" s="9" t="n">
        <v>9.31</v>
      </c>
      <c r="L162" s="9" t="n">
        <v>54.55</v>
      </c>
      <c r="M162" s="9" t="n">
        <v>139.65</v>
      </c>
      <c r="N162" s="9" t="n">
        <v>6.58</v>
      </c>
      <c r="O162" s="9" t="n">
        <v>33.79</v>
      </c>
      <c r="P162" s="9" t="n">
        <v>33.61</v>
      </c>
      <c r="Q162" s="9" t="n">
        <v>68.95999999999999</v>
      </c>
      <c r="R162" s="9" t="n">
        <v>18.88</v>
      </c>
      <c r="S162" s="9" t="n">
        <v>17.74</v>
      </c>
      <c r="T162" s="9" t="n">
        <v>3.672975</v>
      </c>
    </row>
    <row r="163">
      <c r="A163" s="15" t="inlineStr">
        <is>
          <t>2026-02-17</t>
        </is>
      </c>
      <c r="B163" s="12" t="n">
        <v>57.09</v>
      </c>
      <c r="C163" s="12" t="n">
        <v>84.78</v>
      </c>
      <c r="D163" s="12" t="n">
        <v>27.76</v>
      </c>
      <c r="E163" s="12" t="n">
        <v>2.81</v>
      </c>
      <c r="F163" s="12" t="n">
        <v>16.35</v>
      </c>
      <c r="G163" s="12" t="n">
        <v>36.5</v>
      </c>
      <c r="H163" s="12" t="n">
        <v>33.75</v>
      </c>
      <c r="I163" s="12" t="n">
        <v>130.8</v>
      </c>
      <c r="J163" s="12" t="n">
        <v>75.44</v>
      </c>
      <c r="K163" s="12" t="n">
        <v>10.05</v>
      </c>
      <c r="L163" s="12" t="n">
        <v>53.5</v>
      </c>
      <c r="M163" s="12" t="n">
        <v>139.23</v>
      </c>
      <c r="N163" s="12" t="n">
        <v>6.6</v>
      </c>
      <c r="O163" s="12" t="n">
        <v>32.23</v>
      </c>
      <c r="P163" s="12" t="n">
        <v>33.2</v>
      </c>
      <c r="Q163" s="12" t="n">
        <v>68.22</v>
      </c>
      <c r="R163" s="12" t="n">
        <v>18.69</v>
      </c>
      <c r="S163" s="12" t="n">
        <v>19.12</v>
      </c>
      <c r="T163" s="12" t="n">
        <v>3.673175</v>
      </c>
    </row>
    <row r="164">
      <c r="A164" s="14" t="inlineStr">
        <is>
          <t>2026-02-18</t>
        </is>
      </c>
      <c r="B164" s="9" t="n">
        <v>56.72</v>
      </c>
      <c r="C164" s="9" t="n">
        <v>86.66</v>
      </c>
      <c r="D164" s="9" t="n">
        <v>27.76</v>
      </c>
      <c r="E164" s="9" t="n">
        <v>2.84</v>
      </c>
      <c r="F164" s="9" t="n">
        <v>16.9</v>
      </c>
      <c r="G164" s="9" t="n">
        <v>36.9</v>
      </c>
      <c r="H164" s="9" t="n">
        <v>32.68</v>
      </c>
      <c r="I164" s="9" t="n">
        <v>134.07</v>
      </c>
      <c r="J164" s="9" t="n">
        <v>75.20999999999999</v>
      </c>
      <c r="K164" s="9" t="n">
        <v>11.07</v>
      </c>
      <c r="L164" s="9" t="n">
        <v>54.39</v>
      </c>
      <c r="M164" s="9" t="n">
        <v>147.46</v>
      </c>
      <c r="N164" s="9" t="n">
        <v>6.55</v>
      </c>
      <c r="O164" s="9" t="n">
        <v>33.43</v>
      </c>
      <c r="P164" s="9" t="n">
        <v>33.77</v>
      </c>
      <c r="Q164" s="9" t="n">
        <v>71.29000000000001</v>
      </c>
      <c r="R164" s="9" t="n">
        <v>19.4</v>
      </c>
      <c r="S164" s="9" t="n">
        <v>19.59</v>
      </c>
      <c r="T164" s="9" t="n">
        <v>3.67335</v>
      </c>
    </row>
    <row r="165">
      <c r="A165" s="15" t="inlineStr">
        <is>
          <t>2026-02-19</t>
        </is>
      </c>
      <c r="B165" s="12" t="n">
        <v>55.94</v>
      </c>
      <c r="C165" s="12" t="n">
        <v>86.12</v>
      </c>
      <c r="D165" s="12" t="n">
        <v>27.76</v>
      </c>
      <c r="E165" s="12" t="n">
        <v>2.77</v>
      </c>
      <c r="F165" s="12" t="n">
        <v>16.45</v>
      </c>
      <c r="G165" s="12" t="n">
        <v>36.2</v>
      </c>
      <c r="H165" s="12" t="n">
        <v>34</v>
      </c>
      <c r="I165" s="12" t="n">
        <v>137.93</v>
      </c>
      <c r="J165" s="12" t="n">
        <v>75.65000000000001</v>
      </c>
      <c r="K165" s="12" t="n">
        <v>11.39</v>
      </c>
      <c r="L165" s="12" t="n">
        <v>54.16</v>
      </c>
      <c r="M165" s="12" t="n">
        <v>146.13</v>
      </c>
      <c r="N165" s="12" t="n">
        <v>6.4</v>
      </c>
      <c r="O165" s="12" t="n">
        <v>34.58</v>
      </c>
      <c r="P165" s="12" t="n">
        <v>33.2</v>
      </c>
      <c r="Q165" s="12" t="n">
        <v>72.62</v>
      </c>
      <c r="R165" s="12" t="n">
        <v>19.71</v>
      </c>
      <c r="S165" s="12" t="n">
        <v>19.06</v>
      </c>
      <c r="T165" s="12" t="n">
        <v>3.6731</v>
      </c>
    </row>
    <row r="166">
      <c r="A166" s="14" t="inlineStr">
        <is>
          <t>2026-02-20</t>
        </is>
      </c>
      <c r="B166" s="9" t="n">
        <v>56.03</v>
      </c>
      <c r="C166" s="9" t="n">
        <v>89.09</v>
      </c>
      <c r="D166" s="9" t="n">
        <v>27.76</v>
      </c>
      <c r="E166" s="9" t="n">
        <v>2.72</v>
      </c>
      <c r="F166" s="9" t="n">
        <v>16.45</v>
      </c>
      <c r="G166" s="9" t="n">
        <v>35.95</v>
      </c>
      <c r="H166" s="9" t="n">
        <v>33.99</v>
      </c>
      <c r="I166" s="9" t="n">
        <v>142.01</v>
      </c>
      <c r="J166" s="9" t="n">
        <v>76.11</v>
      </c>
      <c r="K166" s="9" t="n">
        <v>10.03</v>
      </c>
      <c r="L166" s="9" t="n">
        <v>50.2</v>
      </c>
      <c r="M166" s="9" t="n">
        <v>150.17</v>
      </c>
      <c r="N166" s="9" t="n">
        <v>6.35</v>
      </c>
      <c r="O166" s="9" t="n">
        <v>36.14</v>
      </c>
      <c r="P166" s="9" t="n">
        <v>33.62</v>
      </c>
      <c r="Q166" s="9" t="n">
        <v>73.48999999999999</v>
      </c>
      <c r="R166" s="9" t="n">
        <v>19.67</v>
      </c>
      <c r="S166" s="9" t="n">
        <v>18.66</v>
      </c>
      <c r="T166" s="9" t="n">
        <v>3.6731</v>
      </c>
    </row>
    <row r="167">
      <c r="A167" s="15" t="inlineStr">
        <is>
          <t>2026-02-23</t>
        </is>
      </c>
      <c r="B167" s="12" t="n">
        <v>56.47</v>
      </c>
      <c r="C167" s="12" t="n">
        <v>90.84999999999999</v>
      </c>
      <c r="D167" s="12" t="n">
        <v>27.76</v>
      </c>
      <c r="E167" s="12" t="n">
        <v>2.75</v>
      </c>
      <c r="F167" s="12" t="n">
        <v>17.05</v>
      </c>
      <c r="G167" s="12" t="n">
        <v>37</v>
      </c>
      <c r="H167" s="12" t="n">
        <v>34.35</v>
      </c>
      <c r="I167" s="12" t="n">
        <v>146.64</v>
      </c>
      <c r="J167" s="12" t="n">
        <v>71.78</v>
      </c>
      <c r="K167" s="12" t="n">
        <v>10.19</v>
      </c>
      <c r="L167" s="12" t="n">
        <v>47.26</v>
      </c>
      <c r="M167" s="12" t="n">
        <v>142.46</v>
      </c>
      <c r="N167" s="12" t="n">
        <v>6.38</v>
      </c>
      <c r="O167" s="12" t="n">
        <v>36.75</v>
      </c>
      <c r="P167" s="12" t="n">
        <v>33.99</v>
      </c>
      <c r="Q167" s="12" t="n">
        <v>72.06</v>
      </c>
      <c r="R167" s="12" t="n">
        <v>19.32</v>
      </c>
      <c r="S167" s="12" t="n">
        <v>18.47</v>
      </c>
      <c r="T167" s="12" t="n">
        <v>3.673225</v>
      </c>
    </row>
    <row r="168">
      <c r="A168" s="14" t="inlineStr">
        <is>
          <t>2026-02-24</t>
        </is>
      </c>
      <c r="B168" s="9" t="n">
        <v>57.88</v>
      </c>
      <c r="C168" s="9" t="n">
        <v>93.37</v>
      </c>
      <c r="D168" s="9" t="n">
        <v>27.76</v>
      </c>
      <c r="E168" s="9" t="n">
        <v>2.74</v>
      </c>
      <c r="F168" s="9" t="n">
        <v>17.1</v>
      </c>
      <c r="G168" s="9" t="n">
        <v>35.5</v>
      </c>
      <c r="H168" s="9" t="n">
        <v>34.13</v>
      </c>
      <c r="I168" s="9" t="n">
        <v>147.08</v>
      </c>
      <c r="J168" s="9" t="n">
        <v>73.39</v>
      </c>
      <c r="K168" s="9" t="n">
        <v>10.4</v>
      </c>
      <c r="L168" s="9" t="n">
        <v>51.04</v>
      </c>
      <c r="M168" s="9" t="n">
        <v>142.08</v>
      </c>
      <c r="N168" s="9" t="n">
        <v>6.39</v>
      </c>
      <c r="O168" s="9" t="n">
        <v>37.64</v>
      </c>
      <c r="P168" s="9" t="n">
        <v>34.05</v>
      </c>
      <c r="Q168" s="9" t="n">
        <v>74.27</v>
      </c>
      <c r="R168" s="9" t="n">
        <v>19.61</v>
      </c>
      <c r="S168" s="9" t="n">
        <v>20.15</v>
      </c>
      <c r="T168" s="9" t="n">
        <v>3.6734</v>
      </c>
    </row>
    <row r="169">
      <c r="A169" s="15" t="inlineStr">
        <is>
          <t>2026-02-25</t>
        </is>
      </c>
      <c r="B169" s="12" t="n">
        <v>57.42</v>
      </c>
      <c r="C169" s="12" t="n">
        <v>95.06</v>
      </c>
      <c r="D169" s="12" t="n">
        <v>27.76</v>
      </c>
      <c r="E169" s="12" t="n">
        <v>2.7</v>
      </c>
      <c r="F169" s="12" t="n">
        <v>17.1</v>
      </c>
      <c r="G169" s="12" t="n">
        <v>36.3</v>
      </c>
      <c r="H169" s="12" t="n">
        <v>34.35</v>
      </c>
      <c r="I169" s="12" t="n">
        <v>147.85</v>
      </c>
      <c r="J169" s="12" t="n">
        <v>77.53</v>
      </c>
      <c r="K169" s="12" t="n">
        <v>10.3</v>
      </c>
      <c r="L169" s="12" t="n">
        <v>52.16</v>
      </c>
      <c r="M169" s="12" t="n">
        <v>149.67</v>
      </c>
      <c r="N169" s="12" t="n">
        <v>6.37</v>
      </c>
      <c r="O169" s="12" t="n">
        <v>37.98</v>
      </c>
      <c r="P169" s="12" t="n">
        <v>34.56</v>
      </c>
      <c r="Q169" s="12" t="n">
        <v>73.48999999999999</v>
      </c>
      <c r="R169" s="12" t="n">
        <v>20.11</v>
      </c>
      <c r="S169" s="12" t="n">
        <v>20.47</v>
      </c>
      <c r="T169" s="12" t="n">
        <v>3.673125</v>
      </c>
    </row>
    <row r="170">
      <c r="A170" s="14" t="inlineStr">
        <is>
          <t>2026-02-26</t>
        </is>
      </c>
      <c r="B170" s="9" t="n">
        <v>55.36</v>
      </c>
      <c r="C170" s="9" t="n">
        <v>94.45</v>
      </c>
      <c r="D170" s="9" t="n">
        <v>27.76</v>
      </c>
      <c r="E170" s="9" t="n">
        <v>2.67</v>
      </c>
      <c r="F170" s="9" t="n">
        <v>16.9</v>
      </c>
      <c r="G170" s="9" t="n">
        <v>34.8</v>
      </c>
      <c r="H170" s="9" t="n">
        <v>34.49</v>
      </c>
      <c r="I170" s="9" t="n">
        <v>153.28</v>
      </c>
      <c r="J170" s="9" t="n">
        <v>79.45</v>
      </c>
      <c r="K170" s="9" t="n">
        <v>10.45</v>
      </c>
      <c r="L170" s="9" t="n">
        <v>54.33</v>
      </c>
      <c r="M170" s="9" t="n">
        <v>151.25</v>
      </c>
      <c r="N170" s="9" t="n">
        <v>6.41</v>
      </c>
      <c r="O170" s="9" t="n">
        <v>39.42</v>
      </c>
      <c r="P170" s="9" t="n">
        <v>34.38</v>
      </c>
      <c r="Q170" s="9" t="n">
        <v>72.31</v>
      </c>
      <c r="R170" s="9" t="n">
        <v>19.45</v>
      </c>
      <c r="S170" s="9" t="n">
        <v>20.21</v>
      </c>
      <c r="T170" s="9" t="n">
        <v>3.673575</v>
      </c>
    </row>
    <row r="171">
      <c r="A171" s="15" t="inlineStr">
        <is>
          <t>2026-02-27</t>
        </is>
      </c>
      <c r="B171" s="12" t="n">
        <v>54.4</v>
      </c>
      <c r="C171" s="12" t="n">
        <v>95.7</v>
      </c>
      <c r="D171" s="12" t="n">
        <v>27.76</v>
      </c>
      <c r="E171" s="12" t="n">
        <v>2.7</v>
      </c>
      <c r="F171" s="12" t="n">
        <v>16.2</v>
      </c>
      <c r="G171" s="12" t="n">
        <v>33</v>
      </c>
      <c r="H171" s="12" t="n">
        <v>34.39</v>
      </c>
      <c r="I171" s="12" t="n">
        <v>156.19</v>
      </c>
      <c r="J171" s="12" t="n">
        <v>75.84999999999999</v>
      </c>
      <c r="K171" s="12" t="n">
        <v>10.08</v>
      </c>
      <c r="L171" s="12" t="n">
        <v>51.96</v>
      </c>
      <c r="M171" s="12" t="n">
        <v>145.81</v>
      </c>
      <c r="N171" s="12" t="n">
        <v>6.4</v>
      </c>
      <c r="O171" s="12" t="n">
        <v>40.3</v>
      </c>
      <c r="P171" s="12" t="n">
        <v>33.61</v>
      </c>
      <c r="Q171" s="12" t="n">
        <v>71.94</v>
      </c>
      <c r="R171" s="12" t="n">
        <v>18.72</v>
      </c>
      <c r="S171" s="12" t="n">
        <v>19.72</v>
      </c>
      <c r="T171" s="12" t="n">
        <v>3.673575</v>
      </c>
    </row>
    <row r="172">
      <c r="A172" s="14" t="inlineStr">
        <is>
          <t>2026-03-02</t>
        </is>
      </c>
      <c r="B172" s="9" t="n">
        <v>53.83</v>
      </c>
      <c r="C172" s="9" t="n">
        <v>93.59999999999999</v>
      </c>
      <c r="D172" s="9" t="n">
        <v>27.76</v>
      </c>
      <c r="E172" s="9" t="n">
        <v>2.7</v>
      </c>
      <c r="F172" s="9" t="n">
        <v>16.2</v>
      </c>
      <c r="G172" s="9" t="n">
        <v>33</v>
      </c>
      <c r="H172" s="9" t="n">
        <v>35.99</v>
      </c>
      <c r="I172" s="9" t="n">
        <v>155.03</v>
      </c>
      <c r="J172" s="9" t="n">
        <v>78.78</v>
      </c>
      <c r="K172" s="9" t="n">
        <v>10.67</v>
      </c>
      <c r="L172" s="9" t="n">
        <v>53.69</v>
      </c>
      <c r="M172" s="9" t="n">
        <v>147.11</v>
      </c>
      <c r="N172" s="9" t="n">
        <v>6.4</v>
      </c>
      <c r="O172" s="9" t="n">
        <v>39.95</v>
      </c>
      <c r="P172" s="9" t="n">
        <v>33.48</v>
      </c>
      <c r="Q172" s="9" t="n">
        <v>75.56</v>
      </c>
      <c r="R172" s="9" t="n">
        <v>19.15</v>
      </c>
      <c r="S172" s="9" t="n">
        <v>21.21</v>
      </c>
      <c r="T172" s="9" t="n">
        <v>3.673575</v>
      </c>
    </row>
    <row r="173">
      <c r="A173" s="15" t="inlineStr">
        <is>
          <t>2026-03-03</t>
        </is>
      </c>
      <c r="B173" s="12" t="n">
        <v>53.61</v>
      </c>
      <c r="C173" s="12" t="n">
        <v>87.02</v>
      </c>
      <c r="D173" s="12" t="n">
        <v>27.76</v>
      </c>
      <c r="E173" s="12" t="n">
        <v>2.7</v>
      </c>
      <c r="F173" s="12" t="n">
        <v>16.2</v>
      </c>
      <c r="G173" s="12" t="n">
        <v>33</v>
      </c>
      <c r="H173" s="12" t="n">
        <v>33.57</v>
      </c>
      <c r="I173" s="12" t="n">
        <v>141.22</v>
      </c>
      <c r="J173" s="12" t="n">
        <v>76.06999999999999</v>
      </c>
      <c r="K173" s="12" t="n">
        <v>10.02</v>
      </c>
      <c r="L173" s="12" t="n">
        <v>53.87</v>
      </c>
      <c r="M173" s="12" t="n">
        <v>145.69</v>
      </c>
      <c r="N173" s="12" t="n">
        <v>6.4</v>
      </c>
      <c r="O173" s="12" t="n">
        <v>36.07</v>
      </c>
      <c r="P173" s="12" t="n">
        <v>31.62</v>
      </c>
      <c r="Q173" s="12" t="n">
        <v>69.37</v>
      </c>
      <c r="R173" s="12" t="n">
        <v>17.95</v>
      </c>
      <c r="S173" s="12" t="n">
        <v>20.85</v>
      </c>
      <c r="T173" s="12" t="n">
        <v>3.67265</v>
      </c>
    </row>
    <row r="174">
      <c r="A174" s="14" t="inlineStr">
        <is>
          <t>2026-03-04</t>
        </is>
      </c>
      <c r="B174" s="9" t="n">
        <v>53.17</v>
      </c>
      <c r="C174" s="9" t="n">
        <v>88.16</v>
      </c>
      <c r="D174" s="9" t="n">
        <v>27.76</v>
      </c>
      <c r="E174" s="9" t="n">
        <v>2.57</v>
      </c>
      <c r="F174" s="9" t="n">
        <v>15.4</v>
      </c>
      <c r="G174" s="9" t="n">
        <v>31.35</v>
      </c>
      <c r="H174" s="9" t="n">
        <v>34.27</v>
      </c>
      <c r="I174" s="9" t="n">
        <v>142.49</v>
      </c>
      <c r="J174" s="9" t="n">
        <v>82.20999999999999</v>
      </c>
      <c r="K174" s="9" t="n">
        <v>10.51</v>
      </c>
      <c r="L174" s="9" t="n">
        <v>54.87</v>
      </c>
      <c r="M174" s="9" t="n">
        <v>147.29</v>
      </c>
      <c r="N174" s="9" t="n">
        <v>6.08</v>
      </c>
      <c r="O174" s="9" t="n">
        <v>36.51</v>
      </c>
      <c r="P174" s="9" t="n">
        <v>33.33</v>
      </c>
      <c r="Q174" s="9" t="n">
        <v>70.97</v>
      </c>
      <c r="R174" s="9" t="n">
        <v>17.78</v>
      </c>
      <c r="S174" s="9" t="n">
        <v>20.59</v>
      </c>
      <c r="T174" s="9" t="n">
        <v>3.67275</v>
      </c>
    </row>
    <row r="175">
      <c r="A175" s="15" t="inlineStr">
        <is>
          <t>2026-03-05</t>
        </is>
      </c>
      <c r="B175" s="12" t="n">
        <v>51.25</v>
      </c>
      <c r="C175" s="12" t="n">
        <v>82.3</v>
      </c>
      <c r="D175" s="12" t="n">
        <v>27.76</v>
      </c>
      <c r="E175" s="12" t="n">
        <v>2.45</v>
      </c>
      <c r="F175" s="12" t="n">
        <v>14.65</v>
      </c>
      <c r="G175" s="12" t="n">
        <v>29.8</v>
      </c>
      <c r="H175" s="12" t="n">
        <v>33.93</v>
      </c>
      <c r="I175" s="12" t="n">
        <v>136.71</v>
      </c>
      <c r="J175" s="12" t="n">
        <v>80.56</v>
      </c>
      <c r="K175" s="12" t="n">
        <v>10.49</v>
      </c>
      <c r="L175" s="12" t="n">
        <v>55.88</v>
      </c>
      <c r="M175" s="12" t="n">
        <v>144.34</v>
      </c>
      <c r="N175" s="12" t="n">
        <v>6.2</v>
      </c>
      <c r="O175" s="12" t="n">
        <v>34.42</v>
      </c>
      <c r="P175" s="12" t="n">
        <v>33.31</v>
      </c>
      <c r="Q175" s="12" t="n">
        <v>66.5</v>
      </c>
      <c r="R175" s="12" t="n">
        <v>17.13</v>
      </c>
      <c r="S175" s="12" t="n">
        <v>18.94</v>
      </c>
      <c r="T175" s="12" t="n">
        <v>3.673625</v>
      </c>
    </row>
    <row r="176">
      <c r="A176" s="14" t="inlineStr">
        <is>
          <t>2026-03-06</t>
        </is>
      </c>
      <c r="B176" s="9" t="n">
        <v>49.45</v>
      </c>
      <c r="C176" s="9" t="n">
        <v>79.95</v>
      </c>
      <c r="D176" s="9" t="n">
        <v>27.76</v>
      </c>
      <c r="E176" s="9" t="n">
        <v>2.45</v>
      </c>
      <c r="F176" s="9" t="n">
        <v>13.95</v>
      </c>
      <c r="G176" s="9" t="n">
        <v>29.4</v>
      </c>
      <c r="H176" s="9" t="n">
        <v>31.65</v>
      </c>
      <c r="I176" s="9" t="n">
        <v>136.17</v>
      </c>
      <c r="J176" s="9" t="n">
        <v>77.09</v>
      </c>
      <c r="K176" s="9" t="n">
        <v>9.83</v>
      </c>
      <c r="L176" s="9" t="n">
        <v>57.17</v>
      </c>
      <c r="M176" s="9" t="n">
        <v>139.39</v>
      </c>
      <c r="N176" s="9" t="n">
        <v>6.18</v>
      </c>
      <c r="O176" s="9" t="n">
        <v>34.02</v>
      </c>
      <c r="P176" s="9" t="n">
        <v>31.36</v>
      </c>
      <c r="Q176" s="9" t="n">
        <v>63.97</v>
      </c>
      <c r="R176" s="9" t="n">
        <v>16.69</v>
      </c>
      <c r="S176" s="9" t="n">
        <v>16.57</v>
      </c>
      <c r="T176" s="9" t="n">
        <v>3.673625</v>
      </c>
    </row>
    <row r="177">
      <c r="A177" s="15" t="inlineStr">
        <is>
          <t>2026-03-09</t>
        </is>
      </c>
      <c r="B177" s="12" t="n">
        <v>50.82</v>
      </c>
      <c r="C177" s="12" t="n">
        <v>82.23999999999999</v>
      </c>
      <c r="D177" s="12" t="n">
        <v>27.76</v>
      </c>
      <c r="E177" s="12" t="n">
        <v>2.33</v>
      </c>
      <c r="F177" s="12" t="n">
        <v>13.3</v>
      </c>
      <c r="G177" s="12" t="n">
        <v>28.95</v>
      </c>
      <c r="H177" s="12" t="n">
        <v>34.48</v>
      </c>
      <c r="I177" s="12" t="n">
        <v>137.23</v>
      </c>
      <c r="J177" s="12" t="n">
        <v>79.34999999999999</v>
      </c>
      <c r="K177" s="12" t="n">
        <v>9.720000000000001</v>
      </c>
      <c r="L177" s="12" t="n">
        <v>57.17</v>
      </c>
      <c r="M177" s="12" t="n">
        <v>138.86</v>
      </c>
      <c r="N177" s="12" t="n">
        <v>5.88</v>
      </c>
      <c r="O177" s="12" t="n">
        <v>34.44</v>
      </c>
      <c r="P177" s="12" t="n">
        <v>33.53</v>
      </c>
      <c r="Q177" s="12" t="n">
        <v>66.7</v>
      </c>
      <c r="R177" s="12" t="n">
        <v>16.79</v>
      </c>
      <c r="S177" s="12" t="n">
        <v>17.76</v>
      </c>
      <c r="T177" s="12" t="n">
        <v>3.672625</v>
      </c>
    </row>
    <row r="178">
      <c r="A178" s="14" t="inlineStr">
        <is>
          <t>2026-03-10</t>
        </is>
      </c>
      <c r="B178" s="9" t="n">
        <v>50.58</v>
      </c>
      <c r="C178" s="9" t="n">
        <v>83.06</v>
      </c>
      <c r="D178" s="9" t="n">
        <v>27.76</v>
      </c>
      <c r="E178" s="9" t="n">
        <v>2.32</v>
      </c>
      <c r="F178" s="9" t="n">
        <v>12.75</v>
      </c>
      <c r="G178" s="9" t="n">
        <v>31.35</v>
      </c>
      <c r="H178" s="9" t="n">
        <v>35.54</v>
      </c>
      <c r="I178" s="9" t="n">
        <v>138.94</v>
      </c>
      <c r="J178" s="9" t="n">
        <v>78.53</v>
      </c>
      <c r="K178" s="9" t="n">
        <v>10.01</v>
      </c>
      <c r="L178" s="9" t="n">
        <v>55.95</v>
      </c>
      <c r="M178" s="9" t="n">
        <v>134.13</v>
      </c>
      <c r="N178" s="9" t="n">
        <v>6</v>
      </c>
      <c r="O178" s="9" t="n">
        <v>35.41</v>
      </c>
      <c r="P178" s="9" t="n">
        <v>33.52</v>
      </c>
      <c r="Q178" s="9" t="n">
        <v>68.68000000000001</v>
      </c>
      <c r="R178" s="9" t="n">
        <v>17.31</v>
      </c>
      <c r="S178" s="9" t="n">
        <v>16.58</v>
      </c>
      <c r="T178" s="9" t="n">
        <v>3.6734</v>
      </c>
    </row>
    <row r="179">
      <c r="A179" s="15" t="inlineStr">
        <is>
          <t>2026-03-11</t>
        </is>
      </c>
      <c r="B179" s="12" t="n">
        <v>50.99</v>
      </c>
      <c r="C179" s="12" t="n">
        <v>82.29000000000001</v>
      </c>
      <c r="D179" s="12" t="n">
        <v>27.76</v>
      </c>
      <c r="E179" s="12" t="n">
        <v>2.34</v>
      </c>
      <c r="F179" s="12" t="n">
        <v>12.15</v>
      </c>
      <c r="G179" s="12" t="n">
        <v>29.8</v>
      </c>
      <c r="H179" s="12" t="n">
        <v>35.48</v>
      </c>
      <c r="I179" s="12" t="n">
        <v>135.36</v>
      </c>
      <c r="J179" s="12" t="n">
        <v>78.69</v>
      </c>
      <c r="K179" s="12" t="n">
        <v>9.83</v>
      </c>
      <c r="L179" s="12" t="n">
        <v>57.52</v>
      </c>
      <c r="M179" s="12" t="n">
        <v>137.12</v>
      </c>
      <c r="N179" s="12" t="n">
        <v>5.84</v>
      </c>
      <c r="O179" s="12" t="n">
        <v>34.35</v>
      </c>
      <c r="P179" s="12" t="n">
        <v>34.06</v>
      </c>
      <c r="Q179" s="12" t="n">
        <v>67.5</v>
      </c>
      <c r="R179" s="12" t="n">
        <v>17.5</v>
      </c>
      <c r="S179" s="12" t="n">
        <v>18.2</v>
      </c>
      <c r="T179" s="12" t="n">
        <v>3.673725</v>
      </c>
    </row>
    <row r="180">
      <c r="A180" s="14" t="inlineStr">
        <is>
          <t>2026-03-12</t>
        </is>
      </c>
      <c r="B180" s="9" t="n">
        <v>48.77</v>
      </c>
      <c r="C180" s="9" t="n">
        <v>79.73999999999999</v>
      </c>
      <c r="D180" s="9" t="n">
        <v>27.76</v>
      </c>
      <c r="E180" s="9" t="n">
        <v>2.23</v>
      </c>
      <c r="F180" s="9" t="n">
        <v>11.55</v>
      </c>
      <c r="G180" s="9" t="n">
        <v>28.35</v>
      </c>
      <c r="H180" s="9" t="n">
        <v>32.05</v>
      </c>
      <c r="I180" s="9" t="n">
        <v>131.59</v>
      </c>
      <c r="J180" s="9" t="n">
        <v>76.12</v>
      </c>
      <c r="K180" s="9" t="n">
        <v>10.33</v>
      </c>
      <c r="L180" s="9" t="n">
        <v>54.02</v>
      </c>
      <c r="M180" s="9" t="n">
        <v>132.25</v>
      </c>
      <c r="N180" s="9" t="n">
        <v>5.55</v>
      </c>
      <c r="O180" s="9" t="n">
        <v>33.37</v>
      </c>
      <c r="P180" s="9" t="n">
        <v>33.24</v>
      </c>
      <c r="Q180" s="9" t="n">
        <v>67.11</v>
      </c>
      <c r="R180" s="9" t="n">
        <v>17.15</v>
      </c>
      <c r="S180" s="9" t="n">
        <v>16.97</v>
      </c>
      <c r="T180" s="9" t="n">
        <v>3.6732</v>
      </c>
    </row>
    <row r="181">
      <c r="A181" s="15" t="inlineStr">
        <is>
          <t>2026-03-13</t>
        </is>
      </c>
      <c r="B181" s="12" t="n">
        <v>47.98</v>
      </c>
      <c r="C181" s="12" t="n">
        <v>76.39</v>
      </c>
      <c r="D181" s="12" t="n">
        <v>27.76</v>
      </c>
      <c r="E181" s="12" t="n">
        <v>2.33</v>
      </c>
      <c r="F181" s="12" t="n">
        <v>11.2</v>
      </c>
      <c r="G181" s="12" t="n">
        <v>26.95</v>
      </c>
      <c r="H181" s="12" t="n">
        <v>30.97</v>
      </c>
      <c r="I181" s="12" t="n">
        <v>123.93</v>
      </c>
      <c r="J181" s="12" t="n">
        <v>73.39</v>
      </c>
      <c r="K181" s="12" t="n">
        <v>10.16</v>
      </c>
      <c r="L181" s="12" t="n">
        <v>53.43</v>
      </c>
      <c r="M181" s="12" t="n">
        <v>132.36</v>
      </c>
      <c r="N181" s="12" t="n">
        <v>5.28</v>
      </c>
      <c r="O181" s="12" t="n">
        <v>31.45</v>
      </c>
      <c r="P181" s="12" t="n">
        <v>32.87</v>
      </c>
      <c r="Q181" s="12" t="n">
        <v>63.82</v>
      </c>
      <c r="R181" s="12" t="n">
        <v>17.23</v>
      </c>
      <c r="S181" s="12" t="n">
        <v>16.7</v>
      </c>
      <c r="T181" s="12" t="n">
        <v>3.6732</v>
      </c>
    </row>
    <row r="182">
      <c r="A182" s="14" t="inlineStr">
        <is>
          <t>2026-03-16</t>
        </is>
      </c>
      <c r="B182" s="9" t="n">
        <v>49.56</v>
      </c>
      <c r="C182" s="9" t="n">
        <v>78.66</v>
      </c>
      <c r="D182" s="9" t="n">
        <v>27.76</v>
      </c>
      <c r="E182" s="9" t="n">
        <v>2.23</v>
      </c>
      <c r="F182" s="9" t="n">
        <v>10.65</v>
      </c>
      <c r="G182" s="9" t="n">
        <v>26.5</v>
      </c>
      <c r="H182" s="9" t="n">
        <v>34.56</v>
      </c>
      <c r="I182" s="9" t="n">
        <v>125.84</v>
      </c>
      <c r="J182" s="9" t="n">
        <v>75.31</v>
      </c>
      <c r="K182" s="9" t="n">
        <v>10.53</v>
      </c>
      <c r="L182" s="9" t="n">
        <v>51.67</v>
      </c>
      <c r="M182" s="9" t="n">
        <v>140</v>
      </c>
      <c r="N182" s="9" t="n">
        <v>5.2</v>
      </c>
      <c r="O182" s="9" t="n">
        <v>31.76</v>
      </c>
      <c r="P182" s="9" t="n">
        <v>33.46</v>
      </c>
      <c r="Q182" s="9" t="n">
        <v>64.18000000000001</v>
      </c>
      <c r="R182" s="9" t="n">
        <v>17.38</v>
      </c>
      <c r="S182" s="9" t="n">
        <v>18.34</v>
      </c>
      <c r="T182" s="9" t="n">
        <v>3.6732</v>
      </c>
    </row>
    <row r="183">
      <c r="A183" s="15" t="inlineStr">
        <is>
          <t>2026-03-17</t>
        </is>
      </c>
      <c r="B183" s="12" t="n">
        <v>50.12</v>
      </c>
      <c r="C183" s="12" t="n">
        <v>77.91</v>
      </c>
      <c r="D183" s="12" t="n">
        <v>27.76</v>
      </c>
      <c r="E183" s="12" t="n">
        <v>2.3</v>
      </c>
      <c r="F183" s="12" t="n">
        <v>11.45</v>
      </c>
      <c r="G183" s="12" t="n">
        <v>27.8</v>
      </c>
      <c r="H183" s="12" t="n">
        <v>36</v>
      </c>
      <c r="I183" s="12" t="n">
        <v>125.13</v>
      </c>
      <c r="J183" s="12" t="n">
        <v>77.34999999999999</v>
      </c>
      <c r="K183" s="12" t="n">
        <v>11.28</v>
      </c>
      <c r="L183" s="12" t="n">
        <v>52.06</v>
      </c>
      <c r="M183" s="12" t="n">
        <v>144.33</v>
      </c>
      <c r="N183" s="12" t="n">
        <v>5.4</v>
      </c>
      <c r="O183" s="12" t="n">
        <v>31.53</v>
      </c>
      <c r="P183" s="12" t="n">
        <v>33.79</v>
      </c>
      <c r="Q183" s="12" t="n">
        <v>65.05</v>
      </c>
      <c r="R183" s="12" t="n">
        <v>17.68</v>
      </c>
      <c r="S183" s="12" t="n">
        <v>17.89</v>
      </c>
      <c r="T183" s="12" t="n">
        <v>3.6732</v>
      </c>
    </row>
    <row r="184">
      <c r="A184" s="14" t="inlineStr">
        <is>
          <t>2026-03-18</t>
        </is>
      </c>
      <c r="B184" s="9" t="n">
        <v>49.87</v>
      </c>
      <c r="C184" s="9" t="n">
        <v>74.93000000000001</v>
      </c>
      <c r="D184" s="9" t="n">
        <v>27.76</v>
      </c>
      <c r="E184" s="9" t="n">
        <v>2.32</v>
      </c>
      <c r="F184" s="9" t="n">
        <v>11.95</v>
      </c>
      <c r="G184" s="9" t="n">
        <v>27.55</v>
      </c>
      <c r="H184" s="9" t="n">
        <v>34.3</v>
      </c>
      <c r="I184" s="9" t="n">
        <v>116.37</v>
      </c>
      <c r="J184" s="9" t="n">
        <v>74.90000000000001</v>
      </c>
      <c r="K184" s="9" t="n">
        <v>10.83</v>
      </c>
      <c r="L184" s="9" t="n">
        <v>52.09</v>
      </c>
      <c r="M184" s="9" t="n">
        <v>142.79</v>
      </c>
      <c r="N184" s="9" t="n">
        <v>5.21</v>
      </c>
      <c r="O184" s="9" t="n">
        <v>29.26</v>
      </c>
      <c r="P184" s="9" t="n">
        <v>33.23</v>
      </c>
      <c r="Q184" s="9" t="n">
        <v>62.55</v>
      </c>
      <c r="R184" s="9" t="n">
        <v>17.49</v>
      </c>
      <c r="S184" s="9" t="n">
        <v>16.78</v>
      </c>
      <c r="T184" s="9" t="n">
        <v>3.6734</v>
      </c>
    </row>
    <row r="185">
      <c r="A185" s="15" t="inlineStr">
        <is>
          <t>2026-03-19</t>
        </is>
      </c>
      <c r="B185" s="12" t="n">
        <v>50.25</v>
      </c>
      <c r="C185" s="12" t="n">
        <v>72.38</v>
      </c>
      <c r="D185" s="12" t="n">
        <v>27.76</v>
      </c>
      <c r="E185" s="12" t="n">
        <v>2.32</v>
      </c>
      <c r="F185" s="12" t="n">
        <v>11.95</v>
      </c>
      <c r="G185" s="12" t="n">
        <v>27.55</v>
      </c>
      <c r="H185" s="12" t="n">
        <v>35.9</v>
      </c>
      <c r="I185" s="12" t="n">
        <v>108.97</v>
      </c>
      <c r="J185" s="12" t="n">
        <v>74.16</v>
      </c>
      <c r="K185" s="12" t="n">
        <v>10.75</v>
      </c>
      <c r="L185" s="12" t="n">
        <v>50.92</v>
      </c>
      <c r="M185" s="12" t="n">
        <v>138.12</v>
      </c>
      <c r="N185" s="12" t="n">
        <v>5.21</v>
      </c>
      <c r="O185" s="12" t="n">
        <v>27.41</v>
      </c>
      <c r="P185" s="12" t="n">
        <v>32.42</v>
      </c>
      <c r="Q185" s="12" t="n">
        <v>60.9</v>
      </c>
      <c r="R185" s="12" t="n">
        <v>17.73</v>
      </c>
      <c r="S185" s="12" t="n">
        <v>17.06</v>
      </c>
      <c r="T185" s="12" t="n">
        <v>3.673125</v>
      </c>
    </row>
    <row r="186">
      <c r="A186" s="14" t="inlineStr">
        <is>
          <t>2026-03-20</t>
        </is>
      </c>
      <c r="B186" s="9" t="n">
        <v>49.24</v>
      </c>
      <c r="C186" s="9" t="n">
        <v>69.08</v>
      </c>
      <c r="D186" s="9" t="n">
        <v>27.76</v>
      </c>
      <c r="E186" s="9" t="n">
        <v>2.32</v>
      </c>
      <c r="F186" s="9" t="n">
        <v>11.95</v>
      </c>
      <c r="G186" s="9" t="n">
        <v>27.55</v>
      </c>
      <c r="H186" s="9" t="n">
        <v>33.45</v>
      </c>
      <c r="I186" s="9" t="n">
        <v>104.77</v>
      </c>
      <c r="J186" s="9" t="n">
        <v>70.89</v>
      </c>
      <c r="K186" s="9" t="n">
        <v>10.06</v>
      </c>
      <c r="L186" s="9" t="n">
        <v>49.28</v>
      </c>
      <c r="M186" s="9" t="n">
        <v>139.85</v>
      </c>
      <c r="N186" s="9" t="n">
        <v>5.21</v>
      </c>
      <c r="O186" s="9" t="n">
        <v>26.31</v>
      </c>
      <c r="P186" s="9" t="n">
        <v>30.86</v>
      </c>
      <c r="Q186" s="9" t="n">
        <v>58.13</v>
      </c>
      <c r="R186" s="9" t="n">
        <v>16.65</v>
      </c>
      <c r="S186" s="9" t="n">
        <v>16.32</v>
      </c>
      <c r="T186" s="9" t="n">
        <v>3.673125</v>
      </c>
    </row>
    <row r="187">
      <c r="A187" s="15" t="inlineStr">
        <is>
          <t>2026-03-23</t>
        </is>
      </c>
      <c r="B187" s="12" t="n">
        <v>50.8</v>
      </c>
      <c r="C187" s="12" t="n">
        <v>73.55</v>
      </c>
      <c r="D187" s="12" t="n">
        <v>27.76</v>
      </c>
      <c r="E187" s="12" t="n">
        <v>2.23</v>
      </c>
      <c r="F187" s="12" t="n">
        <v>11.4</v>
      </c>
      <c r="G187" s="12" t="n">
        <v>26.2</v>
      </c>
      <c r="H187" s="12" t="n">
        <v>34.63</v>
      </c>
      <c r="I187" s="12" t="n">
        <v>110.03</v>
      </c>
      <c r="J187" s="12" t="n">
        <v>72.48999999999999</v>
      </c>
      <c r="K187" s="12" t="n">
        <v>10.9</v>
      </c>
      <c r="L187" s="12" t="n">
        <v>51.18</v>
      </c>
      <c r="M187" s="12" t="n">
        <v>140.96</v>
      </c>
      <c r="N187" s="12" t="n">
        <v>5.27</v>
      </c>
      <c r="O187" s="12" t="n">
        <v>27.48</v>
      </c>
      <c r="P187" s="12" t="n">
        <v>31.66</v>
      </c>
      <c r="Q187" s="12" t="n">
        <v>60.15</v>
      </c>
      <c r="R187" s="12" t="n">
        <v>17.46</v>
      </c>
      <c r="S187" s="12" t="n">
        <v>16.6</v>
      </c>
      <c r="T187" s="12" t="n">
        <v>3.673425</v>
      </c>
    </row>
    <row r="188">
      <c r="A188" s="14" t="inlineStr">
        <is>
          <t>2026-03-24</t>
        </is>
      </c>
      <c r="B188" s="9" t="n">
        <v>51.01</v>
      </c>
      <c r="C188" s="9" t="n">
        <v>73</v>
      </c>
      <c r="D188" s="9" t="n">
        <v>27.76</v>
      </c>
      <c r="E188" s="9" t="n">
        <v>2.3</v>
      </c>
      <c r="F188" s="9" t="n">
        <v>11.85</v>
      </c>
      <c r="G188" s="9" t="n">
        <v>28.1</v>
      </c>
      <c r="H188" s="9" t="n">
        <v>35.78</v>
      </c>
      <c r="I188" s="9" t="n">
        <v>109.79</v>
      </c>
      <c r="J188" s="9" t="n">
        <v>69.08</v>
      </c>
      <c r="K188" s="9" t="n">
        <v>10.68</v>
      </c>
      <c r="L188" s="9" t="n">
        <v>48.07</v>
      </c>
      <c r="M188" s="9" t="n">
        <v>136.12</v>
      </c>
      <c r="N188" s="9" t="n">
        <v>5.33</v>
      </c>
      <c r="O188" s="9" t="n">
        <v>27.91</v>
      </c>
      <c r="P188" s="9" t="n">
        <v>31.95</v>
      </c>
      <c r="Q188" s="9" t="n">
        <v>61.01</v>
      </c>
      <c r="R188" s="9" t="n">
        <v>18.26</v>
      </c>
      <c r="S188" s="9" t="n">
        <v>16.67</v>
      </c>
      <c r="T188" s="9" t="n">
        <v>3.67345</v>
      </c>
    </row>
    <row r="189">
      <c r="A189" s="15" t="inlineStr">
        <is>
          <t>2026-03-25</t>
        </is>
      </c>
      <c r="B189" s="12" t="n">
        <v>51.61</v>
      </c>
      <c r="C189" s="12" t="n">
        <v>75.64</v>
      </c>
      <c r="D189" s="12" t="n">
        <v>27.76</v>
      </c>
      <c r="E189" s="12" t="n">
        <v>2.27</v>
      </c>
      <c r="F189" s="12" t="n">
        <v>12.75</v>
      </c>
      <c r="G189" s="12" t="n">
        <v>30</v>
      </c>
      <c r="H189" s="12" t="n">
        <v>32.47</v>
      </c>
      <c r="I189" s="12" t="n">
        <v>113.29</v>
      </c>
      <c r="J189" s="12" t="n">
        <v>72.54000000000001</v>
      </c>
      <c r="K189" s="12" t="n">
        <v>10.31</v>
      </c>
      <c r="L189" s="12" t="n">
        <v>47.18</v>
      </c>
      <c r="M189" s="12" t="n">
        <v>139.63</v>
      </c>
      <c r="N189" s="12" t="n">
        <v>5.36</v>
      </c>
      <c r="O189" s="12" t="n">
        <v>28.57</v>
      </c>
      <c r="P189" s="12" t="n">
        <v>33.42</v>
      </c>
      <c r="Q189" s="12" t="n">
        <v>62.68</v>
      </c>
      <c r="R189" s="12" t="n">
        <v>18.29</v>
      </c>
      <c r="S189" s="12" t="n">
        <v>18.5</v>
      </c>
      <c r="T189" s="12" t="n">
        <v>3.673375</v>
      </c>
    </row>
    <row r="190">
      <c r="A190" s="14" t="inlineStr">
        <is>
          <t>2026-03-26</t>
        </is>
      </c>
      <c r="B190" s="9" t="n">
        <v>49.33</v>
      </c>
      <c r="C190" s="9" t="n">
        <v>70.89</v>
      </c>
      <c r="D190" s="9" t="n">
        <v>27.76</v>
      </c>
      <c r="E190" s="9" t="n">
        <v>2.22</v>
      </c>
      <c r="F190" s="9" t="n">
        <v>12.15</v>
      </c>
      <c r="G190" s="9" t="n">
        <v>28.5</v>
      </c>
      <c r="H190" s="9" t="n">
        <v>30.06</v>
      </c>
      <c r="I190" s="9" t="n">
        <v>105.92</v>
      </c>
      <c r="J190" s="9" t="n">
        <v>70.34999999999999</v>
      </c>
      <c r="K190" s="9" t="n">
        <v>9.44</v>
      </c>
      <c r="L190" s="9" t="n">
        <v>47.59</v>
      </c>
      <c r="M190" s="9" t="n">
        <v>127.26</v>
      </c>
      <c r="N190" s="9" t="n">
        <v>5.16</v>
      </c>
      <c r="O190" s="9" t="n">
        <v>26.69</v>
      </c>
      <c r="P190" s="9" t="n">
        <v>32.91</v>
      </c>
      <c r="Q190" s="9" t="n">
        <v>59.24</v>
      </c>
      <c r="R190" s="9" t="n">
        <v>17.47</v>
      </c>
      <c r="S190" s="9" t="n">
        <v>16.82</v>
      </c>
      <c r="T190" s="9" t="n">
        <v>3.67355</v>
      </c>
    </row>
    <row r="191">
      <c r="A191" s="15" t="inlineStr">
        <is>
          <t>2026-03-27</t>
        </is>
      </c>
      <c r="B191" s="12" t="n">
        <v>47.59</v>
      </c>
      <c r="C191" s="12" t="n">
        <v>71.61</v>
      </c>
      <c r="D191" s="12" t="n">
        <v>27.76</v>
      </c>
      <c r="E191" s="12" t="n">
        <v>2.18</v>
      </c>
      <c r="F191" s="12" t="n">
        <v>12.1</v>
      </c>
      <c r="G191" s="12" t="n">
        <v>27.6</v>
      </c>
      <c r="H191" s="12" t="n">
        <v>30.64</v>
      </c>
      <c r="I191" s="12" t="n">
        <v>110.58</v>
      </c>
      <c r="J191" s="12" t="n">
        <v>66.02</v>
      </c>
      <c r="K191" s="12" t="n">
        <v>8.800000000000001</v>
      </c>
      <c r="L191" s="12" t="n">
        <v>45.73</v>
      </c>
      <c r="M191" s="12" t="n">
        <v>121.84</v>
      </c>
      <c r="N191" s="12" t="n">
        <v>5.1</v>
      </c>
      <c r="O191" s="12" t="n">
        <v>27.85</v>
      </c>
      <c r="P191" s="12" t="n">
        <v>32.54</v>
      </c>
      <c r="Q191" s="12" t="n">
        <v>59.78</v>
      </c>
      <c r="R191" s="12" t="n">
        <v>17.02</v>
      </c>
      <c r="S191" s="12" t="n">
        <v>15.44</v>
      </c>
      <c r="T191" s="12" t="n">
        <v>3.67355</v>
      </c>
    </row>
    <row r="192">
      <c r="A192" s="14" t="inlineStr">
        <is>
          <t>2026-03-30</t>
        </is>
      </c>
      <c r="B192" s="9" t="n">
        <v>45.94</v>
      </c>
      <c r="C192" s="9" t="n">
        <v>70.75</v>
      </c>
      <c r="D192" s="9" t="n">
        <v>27.76</v>
      </c>
      <c r="E192" s="9" t="n">
        <v>2.14</v>
      </c>
      <c r="F192" s="9" t="n">
        <v>11.75</v>
      </c>
      <c r="G192" s="9" t="n">
        <v>26.9</v>
      </c>
      <c r="H192" s="9" t="n">
        <v>27.97</v>
      </c>
      <c r="I192" s="9" t="n">
        <v>110.61</v>
      </c>
      <c r="J192" s="9" t="n">
        <v>65.16</v>
      </c>
      <c r="K192" s="9" t="n">
        <v>8.15</v>
      </c>
      <c r="L192" s="9" t="n">
        <v>45.58</v>
      </c>
      <c r="M192" s="9" t="n">
        <v>124.13</v>
      </c>
      <c r="N192" s="9" t="n">
        <v>4.99</v>
      </c>
      <c r="O192" s="9" t="n">
        <v>27.31</v>
      </c>
      <c r="P192" s="9" t="n">
        <v>31.32</v>
      </c>
      <c r="Q192" s="9" t="n">
        <v>58.44</v>
      </c>
      <c r="R192" s="9" t="n">
        <v>16.56</v>
      </c>
      <c r="S192" s="9" t="n">
        <v>14.8</v>
      </c>
      <c r="T192" s="9" t="n">
        <v>3.67355</v>
      </c>
    </row>
    <row r="193">
      <c r="A193" s="15" t="inlineStr">
        <is>
          <t>2026-03-31</t>
        </is>
      </c>
      <c r="B193" s="12" t="n">
        <v>48.99</v>
      </c>
      <c r="C193" s="12" t="n">
        <v>76.34999999999999</v>
      </c>
      <c r="D193" s="12" t="n">
        <v>27.76</v>
      </c>
      <c r="E193" s="12" t="n">
        <v>2.14</v>
      </c>
      <c r="F193" s="12" t="n">
        <v>11.7</v>
      </c>
      <c r="G193" s="12" t="n">
        <v>26.75</v>
      </c>
      <c r="H193" s="12" t="n">
        <v>29.27</v>
      </c>
      <c r="I193" s="12" t="n">
        <v>120.04</v>
      </c>
      <c r="J193" s="12" t="n">
        <v>69.3</v>
      </c>
      <c r="K193" s="12" t="n">
        <v>9.039999999999999</v>
      </c>
      <c r="L193" s="12" t="n">
        <v>48.97</v>
      </c>
      <c r="M193" s="12" t="n">
        <v>134.65</v>
      </c>
      <c r="N193" s="12" t="n">
        <v>5.09</v>
      </c>
      <c r="O193" s="12" t="n">
        <v>29.72</v>
      </c>
      <c r="P193" s="12" t="n">
        <v>34.55</v>
      </c>
      <c r="Q193" s="12" t="n">
        <v>63.15</v>
      </c>
      <c r="R193" s="12" t="n">
        <v>18</v>
      </c>
      <c r="S193" s="12" t="n">
        <v>16.32</v>
      </c>
      <c r="T193" s="12" t="n">
        <v>3.6732</v>
      </c>
    </row>
    <row r="194">
      <c r="A194" s="14" t="inlineStr">
        <is>
          <t>2026-04-01</t>
        </is>
      </c>
      <c r="B194" s="9" t="n">
        <v>49.34</v>
      </c>
      <c r="C194" s="9" t="n">
        <v>78.15000000000001</v>
      </c>
      <c r="D194" s="9" t="n">
        <v>27.76</v>
      </c>
      <c r="E194" s="9" t="n">
        <v>2.14</v>
      </c>
      <c r="F194" s="9" t="n">
        <v>12.35</v>
      </c>
      <c r="G194" s="9" t="n">
        <v>28.05</v>
      </c>
      <c r="H194" s="9" t="n">
        <v>29.13</v>
      </c>
      <c r="I194" s="9" t="n">
        <v>125.25</v>
      </c>
      <c r="J194" s="9" t="n">
        <v>70.11</v>
      </c>
      <c r="K194" s="9" t="n">
        <v>8.81</v>
      </c>
      <c r="L194" s="9" t="n">
        <v>48.59</v>
      </c>
      <c r="M194" s="9" t="n">
        <v>136.18</v>
      </c>
      <c r="N194" s="9" t="n">
        <v>5.18</v>
      </c>
      <c r="O194" s="9" t="n">
        <v>30.81</v>
      </c>
      <c r="P194" s="9" t="n">
        <v>34.52</v>
      </c>
      <c r="Q194" s="9" t="n">
        <v>63.87</v>
      </c>
      <c r="R194" s="9" t="n">
        <v>18.41</v>
      </c>
      <c r="S194" s="9" t="n">
        <v>16.45</v>
      </c>
      <c r="T194" s="9" t="n">
        <v>3.6731</v>
      </c>
    </row>
    <row r="195">
      <c r="A195" s="15" t="inlineStr">
        <is>
          <t>2026-04-02</t>
        </is>
      </c>
      <c r="B195" s="12" t="n">
        <v>49.17</v>
      </c>
      <c r="C195" s="12" t="n">
        <v>76.86</v>
      </c>
      <c r="D195" s="12" t="n">
        <v>27.76</v>
      </c>
      <c r="E195" s="12" t="n">
        <v>2.12</v>
      </c>
      <c r="F195" s="12" t="n">
        <v>12.35</v>
      </c>
      <c r="G195" s="12" t="n">
        <v>28.3</v>
      </c>
      <c r="H195" s="12" t="n">
        <v>28.87</v>
      </c>
      <c r="I195" s="12" t="n">
        <v>122.19</v>
      </c>
      <c r="J195" s="12" t="n">
        <v>68.90000000000001</v>
      </c>
      <c r="K195" s="12" t="n">
        <v>9.6</v>
      </c>
      <c r="L195" s="12" t="n">
        <v>51.44</v>
      </c>
      <c r="M195" s="12" t="n">
        <v>136</v>
      </c>
      <c r="N195" s="12" t="n">
        <v>5.05</v>
      </c>
      <c r="O195" s="12" t="n">
        <v>30.61</v>
      </c>
      <c r="P195" s="12" t="n">
        <v>34.32</v>
      </c>
      <c r="Q195" s="12" t="n">
        <v>63.41</v>
      </c>
      <c r="R195" s="12" t="n">
        <v>18.58</v>
      </c>
      <c r="S195" s="12" t="n">
        <v>17.47</v>
      </c>
      <c r="T195" s="12" t="n">
        <v>3.673325</v>
      </c>
    </row>
    <row r="196">
      <c r="A196" s="14" t="inlineStr">
        <is>
          <t>2026-04-03</t>
        </is>
      </c>
      <c r="B196" s="9" t="n">
        <v>49.17</v>
      </c>
      <c r="C196" s="9" t="n">
        <v>76.86</v>
      </c>
      <c r="D196" s="9" t="n">
        <v>27.76</v>
      </c>
      <c r="E196" s="9" t="n">
        <v>2.15</v>
      </c>
      <c r="F196" s="9" t="n">
        <v>11.75</v>
      </c>
      <c r="G196" s="9" t="n">
        <v>28.2</v>
      </c>
      <c r="H196" s="9" t="n">
        <v>28.87</v>
      </c>
      <c r="I196" s="9" t="n">
        <v>122.19</v>
      </c>
      <c r="J196" s="9" t="n">
        <v>68.90000000000001</v>
      </c>
      <c r="K196" s="9" t="n">
        <v>9.6</v>
      </c>
      <c r="L196" s="9" t="n">
        <v>51.44</v>
      </c>
      <c r="M196" s="9" t="n">
        <v>136</v>
      </c>
      <c r="N196" s="9" t="n">
        <v>5.05</v>
      </c>
      <c r="O196" s="9" t="n">
        <v>30.61</v>
      </c>
      <c r="P196" s="9" t="n">
        <v>34.32</v>
      </c>
      <c r="Q196" s="9" t="n">
        <v>63.41</v>
      </c>
      <c r="R196" s="9" t="n">
        <v>18.58</v>
      </c>
      <c r="S196" s="9" t="n">
        <v>17.47</v>
      </c>
      <c r="T196" s="9" t="n">
        <v>3.673325</v>
      </c>
    </row>
    <row r="197">
      <c r="A197" s="15" t="inlineStr">
        <is>
          <t>2026-04-06</t>
        </is>
      </c>
      <c r="B197" s="12" t="n">
        <v>49.52</v>
      </c>
      <c r="C197" s="12" t="n">
        <v>76.72</v>
      </c>
      <c r="D197" s="12" t="n">
        <v>29.16</v>
      </c>
      <c r="E197" s="12" t="n">
        <v>2.12</v>
      </c>
      <c r="F197" s="12" t="n">
        <v>11.4</v>
      </c>
      <c r="G197" s="12" t="n">
        <v>28.26</v>
      </c>
      <c r="H197" s="12" t="n">
        <v>30.17</v>
      </c>
      <c r="I197" s="12" t="n">
        <v>121.22</v>
      </c>
      <c r="J197" s="12" t="n">
        <v>69.78</v>
      </c>
      <c r="K197" s="12" t="n">
        <v>9.52</v>
      </c>
      <c r="L197" s="12" t="n">
        <v>50.9</v>
      </c>
      <c r="M197" s="12" t="n">
        <v>138.34</v>
      </c>
      <c r="N197" s="12" t="n">
        <v>5.11</v>
      </c>
      <c r="O197" s="12" t="n">
        <v>30.43</v>
      </c>
      <c r="P197" s="12" t="n">
        <v>35.44</v>
      </c>
      <c r="Q197" s="12" t="n">
        <v>62.92</v>
      </c>
      <c r="R197" s="12" t="n">
        <v>18.76</v>
      </c>
      <c r="S197" s="12" t="n">
        <v>18.05</v>
      </c>
      <c r="T197" s="12" t="n">
        <v>3.673175</v>
      </c>
    </row>
    <row r="198">
      <c r="A198" s="14" t="inlineStr">
        <is>
          <t>2026-04-07</t>
        </is>
      </c>
      <c r="B198" s="9" t="n">
        <v>51.69</v>
      </c>
      <c r="C198" s="9" t="n">
        <v>76.73999999999999</v>
      </c>
      <c r="D198" s="9" t="n">
        <v>29.44</v>
      </c>
      <c r="E198" s="9" t="n">
        <v>2.08</v>
      </c>
      <c r="F198" s="9" t="n">
        <v>10.96</v>
      </c>
      <c r="G198" s="9" t="n">
        <v>27.74</v>
      </c>
      <c r="H198" s="9" t="n">
        <v>29.85</v>
      </c>
      <c r="I198" s="9" t="n">
        <v>122.91</v>
      </c>
      <c r="J198" s="9" t="n">
        <v>69.65000000000001</v>
      </c>
      <c r="K198" s="9" t="n">
        <v>9.529999999999999</v>
      </c>
      <c r="L198" s="9" t="n">
        <v>52.78</v>
      </c>
      <c r="M198" s="9" t="n">
        <v>141.14</v>
      </c>
      <c r="N198" s="9" t="n">
        <v>5</v>
      </c>
      <c r="O198" s="9" t="n">
        <v>30.6</v>
      </c>
      <c r="P198" s="9" t="n">
        <v>35.68</v>
      </c>
      <c r="Q198" s="9" t="n">
        <v>61.69</v>
      </c>
      <c r="R198" s="9" t="n">
        <v>18.98</v>
      </c>
      <c r="S198" s="9" t="n">
        <v>18.93</v>
      </c>
      <c r="T198" s="9" t="n">
        <v>3.673175</v>
      </c>
    </row>
    <row r="199">
      <c r="A199" s="15" t="inlineStr">
        <is>
          <t>2026-04-08</t>
        </is>
      </c>
      <c r="B199" s="12" t="n">
        <v>53.78</v>
      </c>
      <c r="C199" s="12" t="n">
        <v>82.03</v>
      </c>
      <c r="D199" s="12" t="n">
        <v>32.47</v>
      </c>
      <c r="E199" s="12" t="n">
        <v>2.19</v>
      </c>
      <c r="F199" s="12" t="n">
        <v>12.38</v>
      </c>
      <c r="G199" s="12" t="n">
        <v>30.7</v>
      </c>
      <c r="H199" s="12" t="n">
        <v>31.36</v>
      </c>
      <c r="I199" s="12" t="n">
        <v>127.25</v>
      </c>
      <c r="J199" s="12" t="n">
        <v>71.83</v>
      </c>
      <c r="K199" s="12" t="n">
        <v>9.449999999999999</v>
      </c>
      <c r="L199" s="12" t="n">
        <v>51.63</v>
      </c>
      <c r="M199" s="12" t="n">
        <v>145</v>
      </c>
      <c r="N199" s="12" t="n">
        <v>5.54</v>
      </c>
      <c r="O199" s="12" t="n">
        <v>31.37</v>
      </c>
      <c r="P199" s="12" t="n">
        <v>37.98</v>
      </c>
      <c r="Q199" s="12" t="n">
        <v>64.73999999999999</v>
      </c>
      <c r="R199" s="12" t="n">
        <v>20.49</v>
      </c>
      <c r="S199" s="12" t="n">
        <v>20.56</v>
      </c>
      <c r="T199" s="12" t="n">
        <v>3.67325</v>
      </c>
    </row>
    <row r="200">
      <c r="A200" s="14" t="inlineStr">
        <is>
          <t>2026-04-09</t>
        </is>
      </c>
      <c r="B200" s="9" t="n">
        <v>53.91</v>
      </c>
      <c r="C200" s="9" t="n">
        <v>81.56</v>
      </c>
      <c r="D200" s="9" t="n">
        <v>32.38</v>
      </c>
      <c r="E200" s="9" t="n">
        <v>2.17</v>
      </c>
      <c r="F200" s="9" t="n">
        <v>11.9</v>
      </c>
      <c r="G200" s="9" t="n">
        <v>29.68</v>
      </c>
      <c r="H200" s="9" t="n">
        <v>31.31</v>
      </c>
      <c r="I200" s="9" t="n">
        <v>127.87</v>
      </c>
      <c r="J200" s="9" t="n">
        <v>70.12</v>
      </c>
      <c r="K200" s="9" t="n">
        <v>9.140000000000001</v>
      </c>
      <c r="L200" s="9" t="n">
        <v>46.18</v>
      </c>
      <c r="M200" s="9" t="n">
        <v>138.38</v>
      </c>
      <c r="N200" s="9" t="n">
        <v>5.45</v>
      </c>
      <c r="O200" s="9" t="n">
        <v>31.4</v>
      </c>
      <c r="P200" s="9" t="n">
        <v>39.14</v>
      </c>
      <c r="Q200" s="9" t="n">
        <v>64.61</v>
      </c>
      <c r="R200" s="9" t="n">
        <v>21.33</v>
      </c>
      <c r="S200" s="9" t="n">
        <v>24.43</v>
      </c>
      <c r="T200" s="9" t="n">
        <v>3.673275</v>
      </c>
    </row>
    <row r="201">
      <c r="A201" s="15" t="inlineStr">
        <is>
          <t>2026-04-10</t>
        </is>
      </c>
      <c r="B201" s="12" t="n">
        <v>53.41</v>
      </c>
      <c r="C201" s="12" t="n">
        <v>83.52</v>
      </c>
      <c r="D201" s="12" t="n">
        <v>32.43</v>
      </c>
      <c r="E201" s="12" t="n">
        <v>2.18</v>
      </c>
      <c r="F201" s="12" t="n">
        <v>11.9</v>
      </c>
      <c r="G201" s="12" t="n">
        <v>30.68</v>
      </c>
      <c r="H201" s="12" t="n">
        <v>31.65</v>
      </c>
      <c r="I201" s="12" t="n">
        <v>128.84</v>
      </c>
      <c r="J201" s="12" t="n">
        <v>69.19</v>
      </c>
      <c r="K201" s="12" t="n">
        <v>9.130000000000001</v>
      </c>
      <c r="L201" s="12" t="n">
        <v>43.81</v>
      </c>
      <c r="M201" s="12" t="n">
        <v>139.73</v>
      </c>
      <c r="N201" s="12" t="n">
        <v>5.55</v>
      </c>
      <c r="O201" s="12" t="n">
        <v>31.41</v>
      </c>
      <c r="P201" s="12" t="n">
        <v>39.48</v>
      </c>
      <c r="Q201" s="12" t="n">
        <v>64.44</v>
      </c>
      <c r="R201" s="12" t="n">
        <v>22.47</v>
      </c>
      <c r="S201" s="12" t="n">
        <v>23.22</v>
      </c>
      <c r="T201" s="12" t="n">
        <v>3.673275</v>
      </c>
    </row>
    <row r="202">
      <c r="A202" s="14" t="inlineStr">
        <is>
          <t>2026-04-13</t>
        </is>
      </c>
      <c r="B202" s="9" t="n">
        <v>54.39</v>
      </c>
      <c r="C202" s="9" t="n">
        <v>84.87</v>
      </c>
      <c r="D202" s="9" t="n">
        <v>33.55</v>
      </c>
      <c r="E202" s="9" t="n">
        <v>2.19</v>
      </c>
      <c r="F202" s="9" t="n">
        <v>11.7</v>
      </c>
      <c r="G202" s="9" t="n">
        <v>29.92</v>
      </c>
      <c r="H202" s="9" t="n">
        <v>32.85</v>
      </c>
      <c r="I202" s="9" t="n">
        <v>129.05</v>
      </c>
      <c r="J202" s="9" t="n">
        <v>71.67</v>
      </c>
      <c r="K202" s="9" t="n">
        <v>9.470000000000001</v>
      </c>
      <c r="L202" s="9" t="n">
        <v>48.61</v>
      </c>
      <c r="M202" s="9" t="n">
        <v>149.35</v>
      </c>
      <c r="N202" s="9" t="n">
        <v>5.52</v>
      </c>
      <c r="O202" s="9" t="n">
        <v>31.64</v>
      </c>
      <c r="P202" s="9" t="n">
        <v>40.32</v>
      </c>
      <c r="Q202" s="9" t="n">
        <v>65.90000000000001</v>
      </c>
      <c r="R202" s="9" t="n">
        <v>22.84</v>
      </c>
      <c r="S202" s="9" t="n">
        <v>24.15</v>
      </c>
      <c r="T202" s="9" t="n">
        <v>3.673425</v>
      </c>
    </row>
    <row r="203">
      <c r="A203" s="15" t="inlineStr">
        <is>
          <t>2026-04-14</t>
        </is>
      </c>
      <c r="B203" s="12" t="n">
        <v>55.58</v>
      </c>
      <c r="C203" s="12" t="n">
        <v>86.43000000000001</v>
      </c>
      <c r="D203" s="12" t="n">
        <v>35.57</v>
      </c>
      <c r="E203" s="12" t="n">
        <v>2.18</v>
      </c>
      <c r="F203" s="12" t="n">
        <v>12</v>
      </c>
      <c r="G203" s="12" t="n">
        <v>30</v>
      </c>
      <c r="H203" s="12" t="n">
        <v>33.03</v>
      </c>
      <c r="I203" s="12" t="n">
        <v>132.77</v>
      </c>
      <c r="J203" s="12" t="n">
        <v>79.09</v>
      </c>
      <c r="K203" s="12" t="n">
        <v>9.4</v>
      </c>
      <c r="L203" s="12" t="n">
        <v>48.03</v>
      </c>
      <c r="M203" s="12" t="n">
        <v>154.54</v>
      </c>
      <c r="N203" s="12" t="n">
        <v>5.7</v>
      </c>
      <c r="O203" s="12" t="n">
        <v>32.67</v>
      </c>
      <c r="P203" s="12" t="n">
        <v>40.9</v>
      </c>
      <c r="Q203" s="12" t="n">
        <v>66.43000000000001</v>
      </c>
      <c r="R203" s="12" t="n">
        <v>23.13</v>
      </c>
      <c r="S203" s="12" t="n">
        <v>23</v>
      </c>
      <c r="T203" s="12" t="n">
        <v>3.6734</v>
      </c>
    </row>
    <row r="204">
      <c r="A204" s="14" t="inlineStr">
        <is>
          <t>2026-04-15</t>
        </is>
      </c>
      <c r="B204" s="9" t="n">
        <v>54.64</v>
      </c>
      <c r="C204" s="9" t="n">
        <v>86.08</v>
      </c>
      <c r="D204" s="9" t="n">
        <v>34.47</v>
      </c>
      <c r="E204" s="9" t="n">
        <v>2.21</v>
      </c>
      <c r="F204" s="9" t="n">
        <v>12.38</v>
      </c>
      <c r="G204" s="9" t="n">
        <v>30.76</v>
      </c>
      <c r="H204" s="9" t="n">
        <v>32.39</v>
      </c>
      <c r="I204" s="9" t="n">
        <v>129.38</v>
      </c>
      <c r="J204" s="9" t="n">
        <v>87.31999999999999</v>
      </c>
      <c r="K204" s="9" t="n">
        <v>10.03</v>
      </c>
      <c r="L204" s="9" t="n">
        <v>51.36</v>
      </c>
      <c r="M204" s="9" t="n">
        <v>158.48</v>
      </c>
      <c r="N204" s="9" t="n">
        <v>5.8</v>
      </c>
      <c r="O204" s="9" t="n">
        <v>31.89</v>
      </c>
      <c r="P204" s="9" t="n">
        <v>40.68</v>
      </c>
      <c r="Q204" s="9" t="n">
        <v>68.89</v>
      </c>
      <c r="R204" s="9" t="n">
        <v>23.76</v>
      </c>
      <c r="S204" s="9" t="n">
        <v>23.9</v>
      </c>
      <c r="T204" s="9" t="n">
        <v>3.673225</v>
      </c>
    </row>
    <row r="205">
      <c r="A205" s="15" t="inlineStr">
        <is>
          <t>2026-04-16</t>
        </is>
      </c>
      <c r="B205" s="12" t="n">
        <v>54.97</v>
      </c>
      <c r="C205" s="12" t="n">
        <v>86.20999999999999</v>
      </c>
      <c r="D205" s="12" t="n">
        <v>35.04</v>
      </c>
      <c r="E205" s="12" t="n">
        <v>2.17</v>
      </c>
      <c r="F205" s="12" t="n">
        <v>12.7</v>
      </c>
      <c r="G205" s="12" t="n">
        <v>30.3</v>
      </c>
      <c r="H205" s="12" t="n">
        <v>32.54</v>
      </c>
      <c r="I205" s="12" t="n">
        <v>129.43</v>
      </c>
      <c r="J205" s="12" t="n">
        <v>86.84999999999999</v>
      </c>
      <c r="K205" s="12" t="n">
        <v>10.2</v>
      </c>
      <c r="L205" s="12" t="n">
        <v>51.94</v>
      </c>
      <c r="M205" s="12" t="n">
        <v>162.45</v>
      </c>
      <c r="N205" s="12" t="n">
        <v>5.89</v>
      </c>
      <c r="O205" s="12" t="n">
        <v>31.87</v>
      </c>
      <c r="P205" s="12" t="n">
        <v>41.57</v>
      </c>
      <c r="Q205" s="12" t="n">
        <v>69.52</v>
      </c>
      <c r="R205" s="12" t="n">
        <v>26.25</v>
      </c>
      <c r="S205" s="12" t="n">
        <v>26.54</v>
      </c>
      <c r="T205" s="12" t="n">
        <v>3.67325</v>
      </c>
    </row>
    <row r="206">
      <c r="A206" s="14" t="inlineStr">
        <is>
          <t>2026-04-17</t>
        </is>
      </c>
      <c r="B206" s="9" t="n">
        <v>55.5</v>
      </c>
      <c r="C206" s="9" t="n">
        <v>87.19</v>
      </c>
      <c r="D206" s="9" t="n">
        <v>35.59</v>
      </c>
      <c r="E206" s="9" t="n">
        <v>2.19</v>
      </c>
      <c r="F206" s="9" t="n">
        <v>12.84</v>
      </c>
      <c r="G206" s="9" t="n">
        <v>30.9</v>
      </c>
      <c r="H206" s="9" t="n">
        <v>33.69</v>
      </c>
      <c r="I206" s="9" t="n">
        <v>133.12</v>
      </c>
      <c r="J206" s="9" t="n">
        <v>90.75</v>
      </c>
      <c r="K206" s="9" t="n">
        <v>10</v>
      </c>
      <c r="L206" s="9" t="n">
        <v>52.34</v>
      </c>
      <c r="M206" s="9" t="n">
        <v>163.8</v>
      </c>
      <c r="N206" s="9" t="n">
        <v>5.87</v>
      </c>
      <c r="O206" s="9" t="n">
        <v>33</v>
      </c>
      <c r="P206" s="9" t="n">
        <v>44.22</v>
      </c>
      <c r="Q206" s="9" t="n">
        <v>69.43000000000001</v>
      </c>
      <c r="R206" s="9" t="n">
        <v>25.92</v>
      </c>
      <c r="S206" s="9" t="n">
        <v>25.56</v>
      </c>
      <c r="T206" s="9" t="n">
        <v>3.67325</v>
      </c>
    </row>
    <row r="207">
      <c r="A207" s="15" t="inlineStr">
        <is>
          <t>2026-04-20</t>
        </is>
      </c>
      <c r="B207" s="12" t="n">
        <v>55.48</v>
      </c>
      <c r="C207" s="12" t="n">
        <v>86.25</v>
      </c>
      <c r="D207" s="12" t="n">
        <v>35.07</v>
      </c>
      <c r="E207" s="12" t="n">
        <v>2.11</v>
      </c>
      <c r="F207" s="12" t="n">
        <v>12.64</v>
      </c>
      <c r="G207" s="12" t="n">
        <v>30.2</v>
      </c>
      <c r="H207" s="12" t="n">
        <v>34.09</v>
      </c>
      <c r="I207" s="12" t="n">
        <v>131.56</v>
      </c>
      <c r="J207" s="12" t="n">
        <v>91.28</v>
      </c>
      <c r="K207" s="12" t="n">
        <v>10.73</v>
      </c>
      <c r="L207" s="12" t="n">
        <v>53.6</v>
      </c>
      <c r="M207" s="12" t="n">
        <v>166.28</v>
      </c>
      <c r="N207" s="12" t="n">
        <v>5.7</v>
      </c>
      <c r="O207" s="12" t="n">
        <v>32.69</v>
      </c>
      <c r="P207" s="12" t="n">
        <v>44.46</v>
      </c>
      <c r="Q207" s="12" t="n">
        <v>70.41</v>
      </c>
      <c r="R207" s="12" t="n">
        <v>26.33</v>
      </c>
      <c r="S207" s="12" t="n">
        <v>26.33</v>
      </c>
      <c r="T207" s="12" t="n">
        <v>3.673175</v>
      </c>
    </row>
    <row r="208">
      <c r="A208" s="14" t="inlineStr">
        <is>
          <t>2026-04-21</t>
        </is>
      </c>
      <c r="B208" s="9" t="n">
        <v>53.72</v>
      </c>
      <c r="C208" s="9" t="n">
        <v>81.47</v>
      </c>
      <c r="D208" s="9" t="n">
        <v>34.93</v>
      </c>
      <c r="E208" s="9" t="n">
        <v>2.1</v>
      </c>
      <c r="F208" s="9" t="n">
        <v>12.68</v>
      </c>
      <c r="G208" s="9" t="n">
        <v>30.2</v>
      </c>
      <c r="H208" s="9" t="n">
        <v>34.06</v>
      </c>
      <c r="I208" s="9" t="n">
        <v>122.48</v>
      </c>
      <c r="J208" s="9" t="n">
        <v>86.43000000000001</v>
      </c>
      <c r="K208" s="9" t="n">
        <v>10.87</v>
      </c>
      <c r="L208" s="9" t="n">
        <v>54.02</v>
      </c>
      <c r="M208" s="9" t="n">
        <v>156.82</v>
      </c>
      <c r="N208" s="9" t="n">
        <v>5.67</v>
      </c>
      <c r="O208" s="9" t="n">
        <v>30.55</v>
      </c>
      <c r="P208" s="9" t="n">
        <v>44.3</v>
      </c>
      <c r="Q208" s="9" t="n">
        <v>67.09</v>
      </c>
      <c r="R208" s="9" t="n">
        <v>26.91</v>
      </c>
      <c r="S208" s="9" t="n">
        <v>24.7</v>
      </c>
      <c r="T208" s="9" t="n">
        <v>3.673175</v>
      </c>
    </row>
    <row r="209">
      <c r="A209" s="15" t="inlineStr">
        <is>
          <t>2026-04-22</t>
        </is>
      </c>
      <c r="B209" s="12" t="n">
        <v>54.03</v>
      </c>
      <c r="C209" s="12" t="n">
        <v>84.90000000000001</v>
      </c>
      <c r="D209" s="12" t="n">
        <v>37.3</v>
      </c>
      <c r="E209" s="12" t="n">
        <v>2.03</v>
      </c>
      <c r="F209" s="12" t="n">
        <v>12.4</v>
      </c>
      <c r="G209" s="12" t="n">
        <v>29.66</v>
      </c>
      <c r="H209" s="12" t="n">
        <v>34.67</v>
      </c>
      <c r="I209" s="12" t="n">
        <v>125.73</v>
      </c>
      <c r="J209" s="12" t="n">
        <v>88.43000000000001</v>
      </c>
      <c r="K209" s="12" t="n">
        <v>11.06</v>
      </c>
      <c r="L209" s="12" t="n">
        <v>55.24</v>
      </c>
      <c r="M209" s="12" t="n">
        <v>164.31</v>
      </c>
      <c r="N209" s="12" t="n">
        <v>5.61</v>
      </c>
      <c r="O209" s="12" t="n">
        <v>31.52</v>
      </c>
      <c r="P209" s="12" t="n">
        <v>44.86</v>
      </c>
      <c r="Q209" s="12" t="n">
        <v>71.36</v>
      </c>
      <c r="R209" s="12" t="n">
        <v>26.94</v>
      </c>
      <c r="S209" s="12" t="n">
        <v>27.75</v>
      </c>
      <c r="T209" s="12" t="n">
        <v>3.673125</v>
      </c>
    </row>
    <row r="210">
      <c r="A210" s="14" t="inlineStr">
        <is>
          <t>2026-04-23</t>
        </is>
      </c>
      <c r="B210" s="9" t="n">
        <v>54.1</v>
      </c>
      <c r="C210" s="9" t="n">
        <v>82.45999999999999</v>
      </c>
      <c r="D210" s="9" t="n">
        <v>36.36</v>
      </c>
      <c r="E210" s="9" t="n">
        <v>2.05</v>
      </c>
      <c r="F210" s="9" t="n">
        <v>12.38</v>
      </c>
      <c r="G210" s="9" t="n">
        <v>29.62</v>
      </c>
      <c r="H210" s="9" t="n">
        <v>34.62</v>
      </c>
      <c r="I210" s="9" t="n">
        <v>122</v>
      </c>
      <c r="J210" s="9" t="n">
        <v>83.54000000000001</v>
      </c>
      <c r="K210" s="9" t="n">
        <v>10.54</v>
      </c>
      <c r="L210" s="9" t="n">
        <v>51.03</v>
      </c>
      <c r="M210" s="9" t="n">
        <v>152.96</v>
      </c>
      <c r="N210" s="9" t="n">
        <v>5.56</v>
      </c>
      <c r="O210" s="9" t="n">
        <v>30.66</v>
      </c>
      <c r="P210" s="9" t="n">
        <v>49.71</v>
      </c>
      <c r="Q210" s="9" t="n">
        <v>69.13</v>
      </c>
      <c r="R210" s="9" t="n">
        <v>27.33</v>
      </c>
      <c r="S210" s="9" t="n">
        <v>27.55</v>
      </c>
      <c r="T210" s="9" t="n">
        <v>3.673075</v>
      </c>
    </row>
    <row r="211">
      <c r="A211" s="15" t="inlineStr">
        <is>
          <t>2026-04-24</t>
        </is>
      </c>
      <c r="B211" s="12" t="n">
        <v>54.26</v>
      </c>
      <c r="C211" s="12" t="n">
        <v>82.37</v>
      </c>
      <c r="D211" s="12" t="n">
        <v>37.2</v>
      </c>
      <c r="E211" s="12" t="n">
        <v>2.06</v>
      </c>
      <c r="F211" s="12" t="n">
        <v>12.4</v>
      </c>
      <c r="G211" s="12" t="n">
        <v>30.2</v>
      </c>
      <c r="H211" s="12" t="n">
        <v>35.14</v>
      </c>
      <c r="I211" s="12" t="n">
        <v>123.75</v>
      </c>
      <c r="J211" s="12" t="n">
        <v>84.70999999999999</v>
      </c>
      <c r="K211" s="12" t="n">
        <v>10.55</v>
      </c>
      <c r="L211" s="12" t="n">
        <v>52.28</v>
      </c>
      <c r="M211" s="12" t="n">
        <v>154.89</v>
      </c>
      <c r="N211" s="12" t="n">
        <v>5.54</v>
      </c>
      <c r="O211" s="12" t="n">
        <v>30.9</v>
      </c>
      <c r="P211" s="12" t="n">
        <v>50.47</v>
      </c>
      <c r="Q211" s="12" t="n">
        <v>67.01000000000001</v>
      </c>
      <c r="R211" s="12" t="n">
        <v>28.19</v>
      </c>
      <c r="S211" s="12" t="n">
        <v>31.23</v>
      </c>
      <c r="T211" s="12" t="n">
        <v>3.673075</v>
      </c>
    </row>
    <row r="212">
      <c r="A212" s="14" t="inlineStr">
        <is>
          <t>2026-04-27</t>
        </is>
      </c>
      <c r="B212" s="9" t="n">
        <v>55.09</v>
      </c>
      <c r="C212" s="9" t="n">
        <v>81.7</v>
      </c>
      <c r="D212" s="9" t="n">
        <v>38.57</v>
      </c>
      <c r="E212" s="9" t="n">
        <v>2.09</v>
      </c>
      <c r="F212" s="9" t="n">
        <v>12.5</v>
      </c>
      <c r="G212" s="9" t="n">
        <v>30.36</v>
      </c>
      <c r="H212" s="9" t="n">
        <v>37.15</v>
      </c>
      <c r="I212" s="9" t="n">
        <v>121.48</v>
      </c>
      <c r="J212" s="9" t="n">
        <v>83.95</v>
      </c>
      <c r="K212" s="9" t="n">
        <v>10.95</v>
      </c>
      <c r="L212" s="9" t="n">
        <v>53.26</v>
      </c>
      <c r="M212" s="9" t="n">
        <v>160.21</v>
      </c>
      <c r="N212" s="9" t="n">
        <v>5.61</v>
      </c>
      <c r="O212" s="9" t="n">
        <v>30.63</v>
      </c>
      <c r="P212" s="9" t="n">
        <v>50.56</v>
      </c>
      <c r="Q212" s="9" t="n">
        <v>68.73999999999999</v>
      </c>
      <c r="R212" s="9" t="n">
        <v>27.77</v>
      </c>
      <c r="S212" s="9" t="n">
        <v>29.67</v>
      </c>
      <c r="T212" s="9" t="n">
        <v>3.673125</v>
      </c>
    </row>
    <row r="213">
      <c r="A213" s="15" t="inlineStr">
        <is>
          <t>2026-04-28</t>
        </is>
      </c>
      <c r="B213" s="12" t="n">
        <v>53.74</v>
      </c>
      <c r="C213" s="12" t="n">
        <v>78.69</v>
      </c>
      <c r="D213" s="12" t="n">
        <v>37.33</v>
      </c>
      <c r="E213" s="12" t="n">
        <v>2.09</v>
      </c>
      <c r="F213" s="12" t="n">
        <v>12.52</v>
      </c>
      <c r="G213" s="12" t="n">
        <v>29.74</v>
      </c>
      <c r="H213" s="12" t="n">
        <v>36.89</v>
      </c>
      <c r="I213" s="12" t="n">
        <v>116.73</v>
      </c>
      <c r="J213" s="12" t="n">
        <v>82.06999999999999</v>
      </c>
      <c r="K213" s="12" t="n">
        <v>10.48</v>
      </c>
      <c r="L213" s="12" t="n">
        <v>54.58</v>
      </c>
      <c r="M213" s="12" t="n">
        <v>147.93</v>
      </c>
      <c r="N213" s="12" t="n">
        <v>5.65</v>
      </c>
      <c r="O213" s="12" t="n">
        <v>29.19</v>
      </c>
      <c r="P213" s="12" t="n">
        <v>49.81</v>
      </c>
      <c r="Q213" s="12" t="n">
        <v>65.95999999999999</v>
      </c>
      <c r="R213" s="12" t="n">
        <v>26.74</v>
      </c>
      <c r="S213" s="12" t="n">
        <v>25.85</v>
      </c>
      <c r="T213" s="12" t="n">
        <v>3.6732</v>
      </c>
    </row>
    <row r="214">
      <c r="A214" s="14" t="inlineStr">
        <is>
          <t>2026-04-29</t>
        </is>
      </c>
      <c r="B214" s="9" t="n">
        <v>53.52</v>
      </c>
      <c r="C214" s="9" t="n">
        <v>77.73</v>
      </c>
      <c r="D214" s="9" t="n">
        <v>38.23</v>
      </c>
      <c r="E214" s="9" t="n">
        <v>2.08</v>
      </c>
      <c r="F214" s="9" t="n">
        <v>12.34</v>
      </c>
      <c r="G214" s="9" t="n">
        <v>29.5</v>
      </c>
      <c r="H214" s="9" t="n">
        <v>36.3</v>
      </c>
      <c r="I214" s="9" t="n">
        <v>113.52</v>
      </c>
      <c r="J214" s="9" t="n">
        <v>71.2</v>
      </c>
      <c r="K214" s="9" t="n">
        <v>9.49</v>
      </c>
      <c r="L214" s="9" t="n">
        <v>53.68</v>
      </c>
      <c r="M214" s="9" t="n">
        <v>147.75</v>
      </c>
      <c r="N214" s="9" t="n">
        <v>5.76</v>
      </c>
      <c r="O214" s="9" t="n">
        <v>28.35</v>
      </c>
      <c r="P214" s="9" t="n">
        <v>52.67</v>
      </c>
      <c r="Q214" s="9" t="n">
        <v>64.41</v>
      </c>
      <c r="R214" s="9" t="n">
        <v>27.8</v>
      </c>
      <c r="S214" s="9" t="n">
        <v>25.63</v>
      </c>
      <c r="T214" s="9" t="n">
        <v>3.67295</v>
      </c>
    </row>
    <row r="215">
      <c r="A215" s="15" t="inlineStr">
        <is>
          <t>2026-04-30</t>
        </is>
      </c>
      <c r="B215" s="12" t="n">
        <v>55.51</v>
      </c>
      <c r="C215" s="12" t="n">
        <v>79.61</v>
      </c>
      <c r="D215" s="12" t="n">
        <v>39.33</v>
      </c>
      <c r="E215" s="12" t="n">
        <v>2.03</v>
      </c>
      <c r="F215" s="12" t="n">
        <v>11.8</v>
      </c>
      <c r="G215" s="12" t="n">
        <v>29</v>
      </c>
      <c r="H215" s="12" t="n">
        <v>37.62</v>
      </c>
      <c r="I215" s="12" t="n">
        <v>116.34</v>
      </c>
      <c r="J215" s="12" t="n">
        <v>72.89</v>
      </c>
      <c r="K215" s="12" t="n">
        <v>10.04</v>
      </c>
      <c r="L215" s="12" t="n">
        <v>53.18</v>
      </c>
      <c r="M215" s="12" t="n">
        <v>147.23</v>
      </c>
      <c r="N215" s="12" t="n">
        <v>5.6</v>
      </c>
      <c r="O215" s="12" t="n">
        <v>29.32</v>
      </c>
      <c r="P215" s="12" t="n">
        <v>55.14</v>
      </c>
      <c r="Q215" s="12" t="n">
        <v>68.55</v>
      </c>
      <c r="R215" s="12" t="n">
        <v>28.97</v>
      </c>
      <c r="S215" s="12" t="n">
        <v>29.53</v>
      </c>
      <c r="T215" s="12" t="n">
        <v>3.67315</v>
      </c>
    </row>
    <row r="216">
      <c r="A216" s="14" t="inlineStr">
        <is>
          <t>2026-05-01</t>
        </is>
      </c>
      <c r="B216" s="9" t="n">
        <v>55.94</v>
      </c>
      <c r="C216" s="9" t="n">
        <v>79.05</v>
      </c>
      <c r="D216" s="9" t="n">
        <v>40.41</v>
      </c>
      <c r="E216" s="9" t="n">
        <v>2.01</v>
      </c>
      <c r="F216" s="9" t="n">
        <v>11.8</v>
      </c>
      <c r="G216" s="9" t="n">
        <v>29.16</v>
      </c>
      <c r="H216" s="9" t="n">
        <v>39.22</v>
      </c>
      <c r="I216" s="9" t="n">
        <v>115.38</v>
      </c>
      <c r="J216" s="9" t="n">
        <v>73.66</v>
      </c>
      <c r="K216" s="9" t="n">
        <v>10.32</v>
      </c>
      <c r="L216" s="9" t="n">
        <v>55.07</v>
      </c>
      <c r="M216" s="9" t="n">
        <v>166.48</v>
      </c>
      <c r="N216" s="9" t="n">
        <v>5.54</v>
      </c>
      <c r="O216" s="9" t="n">
        <v>29.44</v>
      </c>
      <c r="P216" s="9" t="n">
        <v>55.75</v>
      </c>
      <c r="Q216" s="9" t="n">
        <v>67.13</v>
      </c>
      <c r="R216" s="9" t="n">
        <v>29.58</v>
      </c>
      <c r="S216" s="9" t="n">
        <v>36.76</v>
      </c>
      <c r="T216" s="9" t="n">
        <v>3.67315</v>
      </c>
    </row>
    <row r="217">
      <c r="A217" s="15" t="inlineStr">
        <is>
          <t>2026-05-04</t>
        </is>
      </c>
      <c r="B217" s="12" t="n">
        <v>56.3</v>
      </c>
      <c r="C217" s="12" t="n">
        <v>76.65000000000001</v>
      </c>
      <c r="D217" s="12" t="n">
        <v>42.47</v>
      </c>
      <c r="E217" s="12" t="n">
        <v>2.02</v>
      </c>
      <c r="F217" s="12" t="n">
        <v>12</v>
      </c>
      <c r="G217" s="12" t="n">
        <v>28.46</v>
      </c>
      <c r="H217" s="12" t="n">
        <v>40.42</v>
      </c>
      <c r="I217" s="12" t="n">
        <v>113.09</v>
      </c>
      <c r="J217" s="12" t="n">
        <v>76.55</v>
      </c>
      <c r="K217" s="12" t="n">
        <v>9.73</v>
      </c>
      <c r="L217" s="12" t="n">
        <v>57.93</v>
      </c>
      <c r="M217" s="12" t="n">
        <v>169.07</v>
      </c>
      <c r="N217" s="12" t="n">
        <v>5.52</v>
      </c>
      <c r="O217" s="12" t="n">
        <v>28.76</v>
      </c>
      <c r="P217" s="12" t="n">
        <v>55.13</v>
      </c>
      <c r="Q217" s="12" t="n">
        <v>66.36</v>
      </c>
      <c r="R217" s="12" t="n">
        <v>30.57</v>
      </c>
      <c r="S217" s="12" t="n">
        <v>35.94</v>
      </c>
      <c r="T217" s="12" t="n">
        <v>3.67315</v>
      </c>
    </row>
    <row r="218">
      <c r="A218" s="14" t="inlineStr">
        <is>
          <t>2026-05-05</t>
        </is>
      </c>
      <c r="B218" s="9" t="n">
        <v>58.83</v>
      </c>
      <c r="C218" s="9" t="n">
        <v>78.20999999999999</v>
      </c>
      <c r="D218" s="9" t="n">
        <v>46.29</v>
      </c>
      <c r="E218" s="9" t="n">
        <v>2</v>
      </c>
      <c r="F218" s="9" t="n">
        <v>11.96</v>
      </c>
      <c r="G218" s="9" t="n">
        <v>28.72</v>
      </c>
      <c r="H218" s="9" t="n">
        <v>41.96</v>
      </c>
      <c r="I218" s="9" t="n">
        <v>113.16</v>
      </c>
      <c r="J218" s="9" t="n">
        <v>77.03</v>
      </c>
      <c r="K218" s="9" t="n">
        <v>9.33</v>
      </c>
      <c r="L218" s="9" t="n">
        <v>57.13</v>
      </c>
      <c r="M218" s="9" t="n">
        <v>171.63</v>
      </c>
      <c r="N218" s="9" t="n">
        <v>5.5</v>
      </c>
      <c r="O218" s="9" t="n">
        <v>28.5</v>
      </c>
      <c r="P218" s="9" t="n">
        <v>57.18</v>
      </c>
      <c r="Q218" s="9" t="n">
        <v>64.81999999999999</v>
      </c>
      <c r="R218" s="9" t="n">
        <v>32.09</v>
      </c>
      <c r="S218" s="9" t="n">
        <v>36.63</v>
      </c>
      <c r="T218" s="9" t="n">
        <v>3.6731</v>
      </c>
    </row>
    <row r="219">
      <c r="A219" s="15" t="inlineStr">
        <is>
          <t>2026-05-06</t>
        </is>
      </c>
      <c r="B219" s="12" t="n">
        <v>62.26</v>
      </c>
      <c r="C219" s="12" t="n">
        <v>83.56999999999999</v>
      </c>
      <c r="D219" s="12" t="n">
        <v>48.68</v>
      </c>
      <c r="E219" s="12" t="n">
        <v>2.06</v>
      </c>
      <c r="F219" s="12" t="n">
        <v>12.48</v>
      </c>
      <c r="G219" s="12" t="n">
        <v>29.72</v>
      </c>
      <c r="H219" s="12" t="n">
        <v>42.68</v>
      </c>
      <c r="I219" s="12" t="n">
        <v>122.75</v>
      </c>
      <c r="J219" s="12" t="n">
        <v>79.05</v>
      </c>
      <c r="K219" s="12" t="n">
        <v>9.34</v>
      </c>
      <c r="L219" s="12" t="n">
        <v>57.78</v>
      </c>
      <c r="M219" s="12" t="n">
        <v>166.56</v>
      </c>
      <c r="N219" s="12" t="n">
        <v>5.72</v>
      </c>
      <c r="O219" s="12" t="n">
        <v>31.04</v>
      </c>
      <c r="P219" s="12" t="n">
        <v>57.95</v>
      </c>
      <c r="Q219" s="12" t="n">
        <v>69.19</v>
      </c>
      <c r="R219" s="12" t="n">
        <v>33.56</v>
      </c>
      <c r="S219" s="12" t="n">
        <v>43.08</v>
      </c>
      <c r="T219" s="12" t="n">
        <v>3.673125</v>
      </c>
    </row>
    <row r="220">
      <c r="A220" s="14" t="inlineStr">
        <is>
          <t>2026-05-07</t>
        </is>
      </c>
      <c r="B220" s="9" t="n">
        <v>65.92</v>
      </c>
      <c r="C220" s="9" t="n">
        <v>82.61</v>
      </c>
      <c r="D220" s="9" t="n">
        <v>46.55</v>
      </c>
      <c r="E220" s="9" t="n">
        <v>2.02</v>
      </c>
      <c r="F220" s="9" t="n">
        <v>12.42</v>
      </c>
      <c r="G220" s="9" t="n">
        <v>29.9</v>
      </c>
      <c r="H220" s="9" t="n">
        <v>39.69</v>
      </c>
      <c r="I220" s="9" t="n">
        <v>122.42</v>
      </c>
      <c r="J220" s="9" t="n">
        <v>76.28</v>
      </c>
      <c r="K220" s="9" t="n">
        <v>8.890000000000001</v>
      </c>
      <c r="L220" s="9" t="n">
        <v>61.49</v>
      </c>
      <c r="M220" s="9" t="n">
        <v>163.95</v>
      </c>
      <c r="N220" s="9" t="n">
        <v>5.94</v>
      </c>
      <c r="O220" s="9" t="n">
        <v>30.88</v>
      </c>
      <c r="P220" s="9" t="n">
        <v>55.9</v>
      </c>
      <c r="Q220" s="9" t="n">
        <v>67.01000000000001</v>
      </c>
      <c r="R220" s="9" t="n">
        <v>32.59</v>
      </c>
      <c r="S220" s="9" t="n">
        <v>45.16</v>
      </c>
      <c r="T220" s="9" t="n">
        <v>3.673</v>
      </c>
    </row>
    <row r="221">
      <c r="A221" s="15" t="inlineStr">
        <is>
          <t>2026-05-08</t>
        </is>
      </c>
      <c r="B221" s="12" t="n">
        <v>65.66</v>
      </c>
      <c r="C221" s="12" t="n">
        <v>85.97</v>
      </c>
      <c r="D221" s="12" t="n">
        <v>52.8</v>
      </c>
      <c r="E221" s="12" t="n">
        <v>2.03</v>
      </c>
      <c r="F221" s="12" t="n">
        <v>12.36</v>
      </c>
      <c r="G221" s="12" t="n">
        <v>29.48</v>
      </c>
      <c r="H221" s="12" t="n">
        <v>40.38</v>
      </c>
      <c r="I221" s="12" t="n">
        <v>125.84</v>
      </c>
      <c r="J221" s="12" t="n">
        <v>77.03</v>
      </c>
      <c r="K221" s="12" t="n">
        <v>9.06</v>
      </c>
      <c r="L221" s="12" t="n">
        <v>62.34</v>
      </c>
      <c r="M221" s="12" t="n">
        <v>155.8</v>
      </c>
      <c r="N221" s="12" t="n">
        <v>5.84</v>
      </c>
      <c r="O221" s="12" t="n">
        <v>31.75</v>
      </c>
      <c r="P221" s="12" t="n">
        <v>59.17</v>
      </c>
      <c r="Q221" s="12" t="n">
        <v>64.98999999999999</v>
      </c>
      <c r="R221" s="12" t="n">
        <v>34.26</v>
      </c>
      <c r="S221" s="12" t="n">
        <v>46.6</v>
      </c>
      <c r="T221" s="12" t="n">
        <v>3.673</v>
      </c>
    </row>
    <row r="222">
      <c r="A222" s="14" t="inlineStr">
        <is>
          <t>2026-05-11</t>
        </is>
      </c>
      <c r="B222" s="9" t="n">
        <v>67.26000000000001</v>
      </c>
      <c r="C222" s="9" t="n">
        <v>87.59</v>
      </c>
      <c r="D222" s="9" t="n">
        <v>55.08</v>
      </c>
      <c r="E222" s="9" t="n">
        <v>2.03</v>
      </c>
      <c r="F222" s="9" t="n">
        <v>12.14</v>
      </c>
      <c r="G222" s="9" t="n">
        <v>29.02</v>
      </c>
      <c r="H222" s="9" t="n">
        <v>43.02</v>
      </c>
      <c r="I222" s="9" t="n">
        <v>129.5</v>
      </c>
      <c r="J222" s="9" t="n">
        <v>80.78</v>
      </c>
      <c r="K222" s="9" t="n">
        <v>9.42</v>
      </c>
      <c r="L222" s="9" t="n">
        <v>62.17</v>
      </c>
      <c r="M222" s="9" t="n">
        <v>159.51</v>
      </c>
      <c r="N222" s="9" t="n">
        <v>5.74</v>
      </c>
      <c r="O222" s="9" t="n">
        <v>33.78</v>
      </c>
      <c r="P222" s="9" t="n">
        <v>60.12</v>
      </c>
      <c r="Q222" s="9" t="n">
        <v>68.19</v>
      </c>
      <c r="R222" s="9" t="n">
        <v>34.83</v>
      </c>
      <c r="S222" s="9" t="n">
        <v>50.31</v>
      </c>
      <c r="T222" s="9" t="n">
        <v>3.6731</v>
      </c>
    </row>
    <row r="223">
      <c r="A223" s="15" t="inlineStr">
        <is>
          <t>2026-05-12</t>
        </is>
      </c>
      <c r="B223" s="12" t="n">
        <v>65.68000000000001</v>
      </c>
      <c r="C223" s="12" t="n">
        <v>90.77</v>
      </c>
      <c r="D223" s="12" t="n">
        <v>51.3</v>
      </c>
      <c r="E223" s="12" t="n">
        <v>2.03</v>
      </c>
      <c r="F223" s="12" t="n">
        <v>11.88</v>
      </c>
      <c r="G223" s="12" t="n">
        <v>28.24</v>
      </c>
      <c r="H223" s="12" t="n">
        <v>43.01</v>
      </c>
      <c r="I223" s="12" t="n">
        <v>129.87</v>
      </c>
      <c r="J223" s="12" t="n">
        <v>78.27</v>
      </c>
      <c r="K223" s="12" t="n">
        <v>9.039999999999999</v>
      </c>
      <c r="L223" s="12" t="n">
        <v>60.47</v>
      </c>
      <c r="M223" s="12" t="n">
        <v>152.35</v>
      </c>
      <c r="N223" s="12" t="n">
        <v>5.65</v>
      </c>
      <c r="O223" s="12" t="n">
        <v>34.18</v>
      </c>
      <c r="P223" s="12" t="n">
        <v>57.93</v>
      </c>
      <c r="Q223" s="12" t="n">
        <v>65.5</v>
      </c>
      <c r="R223" s="12" t="n">
        <v>33.63</v>
      </c>
      <c r="S223" s="12" t="n">
        <v>53.72</v>
      </c>
      <c r="T223" s="12" t="n">
        <v>3.6731</v>
      </c>
    </row>
    <row r="224">
      <c r="A224" s="14" t="inlineStr">
        <is>
          <t>2026-05-13</t>
        </is>
      </c>
      <c r="B224" s="9" t="n">
        <v>63.64</v>
      </c>
      <c r="C224" s="9" t="n">
        <v>91.91</v>
      </c>
      <c r="D224" s="9" t="n">
        <v>54.54</v>
      </c>
      <c r="E224" s="9" t="n">
        <v>2.01</v>
      </c>
      <c r="F224" s="9" t="n">
        <v>11.84</v>
      </c>
      <c r="G224" s="9" t="n">
        <v>28</v>
      </c>
      <c r="H224" s="9" t="n">
        <v>45.52</v>
      </c>
      <c r="I224" s="9" t="n">
        <v>128.94</v>
      </c>
      <c r="J224" s="9" t="n">
        <v>76.75</v>
      </c>
      <c r="K224" s="9" t="n">
        <v>8.859999999999999</v>
      </c>
      <c r="L224" s="9" t="n">
        <v>59.48</v>
      </c>
      <c r="M224" s="9" t="n">
        <v>154.12</v>
      </c>
      <c r="N224" s="9" t="n">
        <v>5.76</v>
      </c>
      <c r="O224" s="9" t="n">
        <v>34.27</v>
      </c>
      <c r="P224" s="9" t="n">
        <v>63.39</v>
      </c>
      <c r="Q224" s="9" t="n">
        <v>63.88</v>
      </c>
      <c r="R224" s="9" t="n">
        <v>38.5</v>
      </c>
      <c r="S224" s="9" t="n">
        <v>62.6</v>
      </c>
      <c r="T224" s="9" t="n">
        <v>3.67305</v>
      </c>
    </row>
    <row r="225">
      <c r="A225" s="15" t="inlineStr">
        <is>
          <t>2026-05-14</t>
        </is>
      </c>
      <c r="B225" s="12" t="n">
        <v>66.09</v>
      </c>
      <c r="C225" s="12" t="n">
        <v>89.38</v>
      </c>
      <c r="D225" s="12" t="n">
        <v>53.79</v>
      </c>
      <c r="E225" s="12" t="n">
        <v>2.07</v>
      </c>
      <c r="F225" s="12" t="n">
        <v>11.78</v>
      </c>
      <c r="G225" s="12" t="n">
        <v>27.8</v>
      </c>
      <c r="H225" s="12" t="n">
        <v>50.19</v>
      </c>
      <c r="I225" s="12" t="n">
        <v>125.67</v>
      </c>
      <c r="J225" s="12" t="n">
        <v>80.7</v>
      </c>
      <c r="K225" s="12" t="n">
        <v>11.21</v>
      </c>
      <c r="L225" s="12" t="n">
        <v>62.8</v>
      </c>
      <c r="M225" s="12" t="n">
        <v>156.31</v>
      </c>
      <c r="N225" s="12" t="n">
        <v>5.67</v>
      </c>
      <c r="O225" s="12" t="n">
        <v>32.91</v>
      </c>
      <c r="P225" s="12" t="n">
        <v>64.38</v>
      </c>
      <c r="Q225" s="12" t="n">
        <v>62.5</v>
      </c>
      <c r="R225" s="12" t="n">
        <v>37.99</v>
      </c>
      <c r="S225" s="12" t="n">
        <v>69.95999999999999</v>
      </c>
      <c r="T225" s="12" t="n">
        <v>3.6733</v>
      </c>
    </row>
    <row r="226">
      <c r="A226" s="14" t="inlineStr">
        <is>
          <t>2026-05-15</t>
        </is>
      </c>
      <c r="B226" s="9" t="n">
        <v>64.26000000000001</v>
      </c>
      <c r="C226" s="9" t="n">
        <v>83.05</v>
      </c>
      <c r="D226" s="9" t="n">
        <v>51.1</v>
      </c>
      <c r="E226" s="9" t="n">
        <v>2.02</v>
      </c>
      <c r="F226" s="9" t="n">
        <v>11.66</v>
      </c>
      <c r="G226" s="9" t="n">
        <v>27.7</v>
      </c>
      <c r="H226" s="9" t="n">
        <v>45.02</v>
      </c>
      <c r="I226" s="9" t="n">
        <v>116.37</v>
      </c>
      <c r="J226" s="9" t="n">
        <v>77.14</v>
      </c>
      <c r="K226" s="9" t="n">
        <v>10.62</v>
      </c>
      <c r="L226" s="9" t="n">
        <v>63.77</v>
      </c>
      <c r="M226" s="9" t="n">
        <v>158.17</v>
      </c>
      <c r="N226" s="9" t="n">
        <v>5.63</v>
      </c>
      <c r="O226" s="9" t="n">
        <v>30.19</v>
      </c>
      <c r="P226" s="9" t="n">
        <v>61.41</v>
      </c>
      <c r="Q226" s="9" t="n">
        <v>60.15</v>
      </c>
      <c r="R226" s="9" t="n">
        <v>37.23</v>
      </c>
      <c r="S226" s="9" t="n">
        <v>62.13</v>
      </c>
      <c r="T226" s="9" t="n">
        <v>3.6733</v>
      </c>
    </row>
    <row r="227">
      <c r="A227" s="15" t="inlineStr">
        <is>
          <t>2026-05-18</t>
        </is>
      </c>
      <c r="B227" s="12" t="n">
        <v>61.91</v>
      </c>
      <c r="C227" s="12" t="n">
        <v>81.84999999999999</v>
      </c>
      <c r="D227" s="12" t="n">
        <v>49.32</v>
      </c>
      <c r="E227" s="12" t="n">
        <v>2</v>
      </c>
      <c r="F227" s="12" t="n">
        <v>11.24</v>
      </c>
      <c r="G227" s="12" t="n">
        <v>27.22</v>
      </c>
      <c r="H227" s="12" t="n">
        <v>43.22</v>
      </c>
      <c r="I227" s="12" t="n">
        <v>115.47</v>
      </c>
      <c r="J227" s="12" t="n">
        <v>77.15000000000001</v>
      </c>
      <c r="K227" s="12" t="n">
        <v>9.699999999999999</v>
      </c>
      <c r="L227" s="12" t="n">
        <v>64.98</v>
      </c>
      <c r="M227" s="12" t="n">
        <v>159.11</v>
      </c>
      <c r="N227" s="12" t="n">
        <v>5.48</v>
      </c>
      <c r="O227" s="12" t="n">
        <v>29.58</v>
      </c>
      <c r="P227" s="12" t="n">
        <v>60.96</v>
      </c>
      <c r="Q227" s="12" t="n">
        <v>58.75</v>
      </c>
      <c r="R227" s="12" t="n">
        <v>36.95</v>
      </c>
      <c r="S227" s="12" t="n">
        <v>59.35</v>
      </c>
      <c r="T227" s="12" t="n">
        <v>3.6732</v>
      </c>
    </row>
    <row r="228">
      <c r="A228" s="14" t="inlineStr">
        <is>
          <t>2026-05-19</t>
        </is>
      </c>
      <c r="B228" s="9" t="n">
        <v>60.65</v>
      </c>
      <c r="C228" s="9" t="n">
        <v>79.37</v>
      </c>
      <c r="D228" s="9" t="n">
        <v>49.77</v>
      </c>
      <c r="E228" s="9" t="n">
        <v>2</v>
      </c>
      <c r="F228" s="9" t="n">
        <v>11.3</v>
      </c>
      <c r="G228" s="9" t="n">
        <v>27.68</v>
      </c>
      <c r="H228" s="9" t="n">
        <v>42.59</v>
      </c>
      <c r="I228" s="9" t="n">
        <v>110.3</v>
      </c>
      <c r="J228" s="9" t="n">
        <v>74.16</v>
      </c>
      <c r="K228" s="9" t="n">
        <v>9.125</v>
      </c>
      <c r="L228" s="9" t="n">
        <v>64.33</v>
      </c>
      <c r="M228" s="9" t="n">
        <v>154.88</v>
      </c>
      <c r="N228" s="9" t="n">
        <v>5.5</v>
      </c>
      <c r="O228" s="9" t="n">
        <v>28.17</v>
      </c>
      <c r="P228" s="9" t="n">
        <v>61.23</v>
      </c>
      <c r="Q228" s="9" t="n">
        <v>57.08</v>
      </c>
      <c r="R228" s="9" t="n">
        <v>37.04</v>
      </c>
      <c r="S228" s="9" t="n">
        <v>58.83</v>
      </c>
      <c r="T228" s="9" t="n">
        <v>3.67325</v>
      </c>
    </row>
    <row r="229">
      <c r="A229" s="15" t="inlineStr">
        <is>
          <t>2026-05-20</t>
        </is>
      </c>
      <c r="B229" s="12" t="n">
        <v>63.37</v>
      </c>
      <c r="C229" s="12" t="n">
        <v>82.31</v>
      </c>
      <c r="D229" s="12" t="n">
        <v>51.51</v>
      </c>
      <c r="E229" s="12" t="n">
        <v>2</v>
      </c>
      <c r="F229" s="12" t="n">
        <v>11.18</v>
      </c>
      <c r="G229" s="12" t="n">
        <v>27.5</v>
      </c>
      <c r="H229" s="12" t="n">
        <v>44.74</v>
      </c>
      <c r="I229" s="12" t="n">
        <v>113.37</v>
      </c>
      <c r="J229" s="12" t="n">
        <v>75.76000000000001</v>
      </c>
      <c r="K229" s="12" t="n">
        <v>9.359999999999999</v>
      </c>
      <c r="L229" s="12" t="n">
        <v>66.89</v>
      </c>
      <c r="M229" s="12" t="n">
        <v>146.72</v>
      </c>
      <c r="N229" s="12" t="n">
        <v>5.45</v>
      </c>
      <c r="O229" s="12" t="n">
        <v>29.35</v>
      </c>
      <c r="P229" s="12" t="n">
        <v>64.93000000000001</v>
      </c>
      <c r="Q229" s="12" t="n">
        <v>57.43</v>
      </c>
      <c r="R229" s="12" t="n">
        <v>40.16</v>
      </c>
      <c r="S229" s="12" t="n">
        <v>58.62</v>
      </c>
      <c r="T229" s="12" t="n">
        <v>3.673075</v>
      </c>
    </row>
    <row r="230">
      <c r="A230" s="14" t="inlineStr">
        <is>
          <t>2026-05-21</t>
        </is>
      </c>
      <c r="B230" s="9" t="n">
        <v>64.27</v>
      </c>
      <c r="C230" s="9" t="n">
        <v>83.02</v>
      </c>
      <c r="D230" s="9" t="n">
        <v>54.34</v>
      </c>
      <c r="E230" s="9" t="n">
        <v>2.02</v>
      </c>
      <c r="F230" s="9" t="n">
        <v>11.3</v>
      </c>
      <c r="G230" s="9" t="n">
        <v>27.6</v>
      </c>
      <c r="H230" s="9" t="n">
        <v>48.52</v>
      </c>
      <c r="I230" s="9" t="n">
        <v>112.21</v>
      </c>
      <c r="J230" s="9" t="n">
        <v>75.92</v>
      </c>
      <c r="K230" s="9" t="n">
        <v>9.18</v>
      </c>
      <c r="L230" s="9" t="n">
        <v>64.79000000000001</v>
      </c>
      <c r="M230" s="9" t="n">
        <v>150.04</v>
      </c>
      <c r="N230" s="9" t="n">
        <v>5.5</v>
      </c>
      <c r="O230" s="9" t="n">
        <v>29.2</v>
      </c>
      <c r="P230" s="9" t="n">
        <v>65.66</v>
      </c>
      <c r="Q230" s="9" t="n">
        <v>58.08</v>
      </c>
      <c r="R230" s="9" t="n">
        <v>42.17</v>
      </c>
      <c r="S230" s="9" t="n">
        <v>69.5</v>
      </c>
      <c r="T230" s="9" t="n">
        <v>3.673075</v>
      </c>
    </row>
    <row r="231">
      <c r="A231" s="15" t="inlineStr">
        <is>
          <t>2026-05-22</t>
        </is>
      </c>
      <c r="B231" s="12" t="n">
        <v>66.09</v>
      </c>
      <c r="C231" s="12" t="n">
        <v>83.34999999999999</v>
      </c>
      <c r="D231" s="12" t="n">
        <v>52.82</v>
      </c>
      <c r="E231" s="12" t="n">
        <v>2.04</v>
      </c>
      <c r="F231" s="12" t="n">
        <v>11.48</v>
      </c>
      <c r="G231" s="12" t="n">
        <v>27.62</v>
      </c>
      <c r="H231" s="12" t="n">
        <v>47.9</v>
      </c>
      <c r="I231" s="12" t="n">
        <v>111.62</v>
      </c>
      <c r="J231" s="12" t="n">
        <v>73.64</v>
      </c>
      <c r="K231" s="12" t="n">
        <v>9.06</v>
      </c>
      <c r="L231" s="12" t="n">
        <v>66.59</v>
      </c>
      <c r="M231" s="12" t="n">
        <v>141.67</v>
      </c>
      <c r="N231" s="12" t="n">
        <v>5.45</v>
      </c>
      <c r="O231" s="12" t="n">
        <v>28.83</v>
      </c>
      <c r="P231" s="12" t="n">
        <v>66.86</v>
      </c>
      <c r="Q231" s="12" t="n">
        <v>58.22</v>
      </c>
      <c r="R231" s="12" t="n">
        <v>47.25</v>
      </c>
      <c r="S231" s="12" t="n">
        <v>69.89</v>
      </c>
      <c r="T231" s="12" t="n">
        <v>3.673075</v>
      </c>
    </row>
    <row r="232">
      <c r="A232" s="14" t="inlineStr">
        <is>
          <t>2026-05-25</t>
        </is>
      </c>
      <c r="B232" s="9" t="n">
        <v>66.09</v>
      </c>
      <c r="C232" s="9" t="n">
        <v>83.34999999999999</v>
      </c>
      <c r="D232" s="9" t="n">
        <v>52.82</v>
      </c>
      <c r="E232" s="9" t="n">
        <v>2.1</v>
      </c>
      <c r="F232" s="9" t="n">
        <v>11.78</v>
      </c>
      <c r="G232" s="9" t="n">
        <v>27.62</v>
      </c>
      <c r="H232" s="9" t="n">
        <v>47.9</v>
      </c>
      <c r="I232" s="9" t="n">
        <v>111.62</v>
      </c>
      <c r="J232" s="9" t="n">
        <v>73.64</v>
      </c>
      <c r="K232" s="9" t="n">
        <v>9.06</v>
      </c>
      <c r="L232" s="9" t="n">
        <v>66.59</v>
      </c>
      <c r="M232" s="9" t="n">
        <v>141.67</v>
      </c>
      <c r="N232" s="9" t="n">
        <v>5.35</v>
      </c>
      <c r="O232" s="9" t="n">
        <v>28.83</v>
      </c>
      <c r="P232" s="9" t="n">
        <v>66.86</v>
      </c>
      <c r="Q232" s="9" t="n">
        <v>58.22</v>
      </c>
      <c r="R232" s="9" t="n">
        <v>47.25</v>
      </c>
      <c r="S232" s="9" t="n">
        <v>69.89</v>
      </c>
      <c r="T232" s="9" t="n">
        <v>3.67325</v>
      </c>
    </row>
    <row r="233">
      <c r="A233" s="15" t="inlineStr">
        <is>
          <t>2026-05-26</t>
        </is>
      </c>
      <c r="B233" s="12" t="n">
        <v>68.33</v>
      </c>
      <c r="C233" s="12" t="n">
        <v>87.51000000000001</v>
      </c>
      <c r="D233" s="12" t="n">
        <v>60.51</v>
      </c>
      <c r="E233" s="12" t="n">
        <v>2.1</v>
      </c>
      <c r="F233" s="12" t="n">
        <v>11.78</v>
      </c>
      <c r="G233" s="12" t="n">
        <v>27.62</v>
      </c>
      <c r="H233" s="12" t="n">
        <v>49.84</v>
      </c>
      <c r="I233" s="12" t="n">
        <v>116.66</v>
      </c>
      <c r="J233" s="12" t="n">
        <v>74.09</v>
      </c>
      <c r="K233" s="12" t="n">
        <v>9.77</v>
      </c>
      <c r="L233" s="12" t="n">
        <v>68.31</v>
      </c>
      <c r="M233" s="12" t="n">
        <v>144.64</v>
      </c>
      <c r="N233" s="12" t="n">
        <v>5.35</v>
      </c>
      <c r="O233" s="12" t="n">
        <v>30.03</v>
      </c>
      <c r="P233" s="12" t="n">
        <v>70.69</v>
      </c>
      <c r="Q233" s="12" t="n">
        <v>60.88</v>
      </c>
      <c r="R233" s="12" t="n">
        <v>50.37</v>
      </c>
      <c r="S233" s="12" t="n">
        <v>73.5</v>
      </c>
      <c r="T233" s="12" t="n">
        <v>3.673075</v>
      </c>
    </row>
    <row r="234">
      <c r="A234" s="14" t="inlineStr">
        <is>
          <t>2026-05-27</t>
        </is>
      </c>
      <c r="B234" s="9" t="n">
        <v>66.7</v>
      </c>
      <c r="C234" s="9" t="n">
        <v>86.09</v>
      </c>
      <c r="D234" s="9" t="n">
        <v>60.73</v>
      </c>
      <c r="E234" s="9" t="n">
        <v>2.1</v>
      </c>
      <c r="F234" s="9" t="n">
        <v>11.78</v>
      </c>
      <c r="G234" s="9" t="n">
        <v>27.62</v>
      </c>
      <c r="H234" s="9" t="n">
        <v>47.3</v>
      </c>
      <c r="I234" s="9" t="n">
        <v>112.56</v>
      </c>
      <c r="J234" s="9" t="n">
        <v>76.23</v>
      </c>
      <c r="K234" s="9" t="n">
        <v>10.8</v>
      </c>
      <c r="L234" s="9" t="n">
        <v>65.81</v>
      </c>
      <c r="M234" s="9" t="n">
        <v>154.19</v>
      </c>
      <c r="N234" s="9" t="n">
        <v>5.35</v>
      </c>
      <c r="O234" s="9" t="n">
        <v>29.27</v>
      </c>
      <c r="P234" s="9" t="n">
        <v>67.75</v>
      </c>
      <c r="Q234" s="9" t="n">
        <v>60.48</v>
      </c>
      <c r="R234" s="9" t="n">
        <v>48.9</v>
      </c>
      <c r="S234" s="9" t="n">
        <v>63.26</v>
      </c>
      <c r="T234" s="9" t="n">
        <v>3.6733</v>
      </c>
    </row>
    <row r="235">
      <c r="A235" s="15" t="inlineStr">
        <is>
          <t>2026-05-28</t>
        </is>
      </c>
      <c r="B235" s="12" t="n">
        <v>66.01000000000001</v>
      </c>
      <c r="C235" s="12" t="n">
        <v>88.44</v>
      </c>
      <c r="D235" s="12" t="n">
        <v>62.57</v>
      </c>
      <c r="E235" s="12" t="n">
        <v>2.1</v>
      </c>
      <c r="F235" s="12" t="n">
        <v>11.78</v>
      </c>
      <c r="G235" s="12" t="n">
        <v>27.62</v>
      </c>
      <c r="H235" s="12" t="n">
        <v>47.56</v>
      </c>
      <c r="I235" s="12" t="n">
        <v>114.83</v>
      </c>
      <c r="J235" s="12" t="n">
        <v>84.84</v>
      </c>
      <c r="K235" s="12" t="n">
        <v>13.25</v>
      </c>
      <c r="L235" s="12" t="n">
        <v>70.31999999999999</v>
      </c>
      <c r="M235" s="12" t="n">
        <v>167.69</v>
      </c>
      <c r="N235" s="12" t="n">
        <v>5.35</v>
      </c>
      <c r="O235" s="12" t="n">
        <v>30.28</v>
      </c>
      <c r="P235" s="12" t="n">
        <v>69.45</v>
      </c>
      <c r="Q235" s="12" t="n">
        <v>61.35</v>
      </c>
      <c r="R235" s="12" t="n">
        <v>52.24</v>
      </c>
      <c r="S235" s="12" t="n">
        <v>65.05</v>
      </c>
      <c r="T235" s="12" t="n">
        <v>3.6731</v>
      </c>
    </row>
    <row r="236">
      <c r="A236" s="14" t="inlineStr">
        <is>
          <t>2026-05-29</t>
        </is>
      </c>
      <c r="B236" s="9" t="n">
        <v>65.84999999999999</v>
      </c>
      <c r="C236" s="9" t="n">
        <v>88.14</v>
      </c>
      <c r="D236" s="9" t="n">
        <v>63.2</v>
      </c>
      <c r="E236" s="9" t="n">
        <v>2.1</v>
      </c>
      <c r="F236" s="9" t="n">
        <v>11.78</v>
      </c>
      <c r="G236" s="9" t="n">
        <v>27.62</v>
      </c>
      <c r="H236" s="9" t="n">
        <v>54.66</v>
      </c>
      <c r="I236" s="9" t="n">
        <v>119.29</v>
      </c>
      <c r="J236" s="9" t="n">
        <v>94.3</v>
      </c>
      <c r="K236" s="9" t="n">
        <v>13.22</v>
      </c>
      <c r="L236" s="9" t="n">
        <v>78.63</v>
      </c>
      <c r="M236" s="9" t="n">
        <v>176</v>
      </c>
      <c r="N236" s="9" t="n">
        <v>5.35</v>
      </c>
      <c r="O236" s="9" t="n">
        <v>30.91</v>
      </c>
      <c r="P236" s="9" t="n">
        <v>69.31</v>
      </c>
      <c r="Q236" s="9" t="n">
        <v>61.28</v>
      </c>
      <c r="R236" s="9" t="n">
        <v>52.05</v>
      </c>
      <c r="S236" s="9" t="n">
        <v>59.28</v>
      </c>
      <c r="T236" s="9" t="n">
        <v>3.6731</v>
      </c>
    </row>
    <row r="237">
      <c r="A237" s="15" t="inlineStr">
        <is>
          <t>2026-06-01</t>
        </is>
      </c>
      <c r="B237" s="12" t="n">
        <v>64.64</v>
      </c>
      <c r="C237" s="12" t="n">
        <v>90.06</v>
      </c>
      <c r="D237" s="12" t="n">
        <v>68</v>
      </c>
      <c r="E237" s="12" t="n">
        <v>2.1</v>
      </c>
      <c r="F237" s="12" t="n">
        <v>11.56</v>
      </c>
      <c r="G237" s="12" t="n">
        <v>27.4</v>
      </c>
      <c r="H237" s="12" t="n">
        <v>56.35</v>
      </c>
      <c r="I237" s="12" t="n">
        <v>114.95</v>
      </c>
      <c r="J237" s="12" t="n">
        <v>90.73</v>
      </c>
      <c r="K237" s="12" t="n">
        <v>13.46</v>
      </c>
      <c r="L237" s="12" t="n">
        <v>85.06999999999999</v>
      </c>
      <c r="M237" s="12" t="n">
        <v>177.85</v>
      </c>
      <c r="N237" s="12" t="n">
        <v>5.5</v>
      </c>
      <c r="O237" s="12" t="n">
        <v>30.5</v>
      </c>
      <c r="P237" s="12" t="n">
        <v>69.02</v>
      </c>
      <c r="Q237" s="12" t="n">
        <v>61.14</v>
      </c>
      <c r="R237" s="12" t="n">
        <v>55.99</v>
      </c>
      <c r="S237" s="12" t="n">
        <v>52.95</v>
      </c>
      <c r="T237" s="12" t="n">
        <v>3.67305</v>
      </c>
    </row>
    <row r="238">
      <c r="A238" s="14" t="inlineStr">
        <is>
          <t>2026-06-02</t>
        </is>
      </c>
      <c r="B238" s="9" t="n">
        <v>66.08</v>
      </c>
      <c r="C238" s="9" t="n">
        <v>93.66</v>
      </c>
      <c r="D238" s="9" t="n">
        <v>69.56999999999999</v>
      </c>
      <c r="E238" s="9" t="n">
        <v>2.11</v>
      </c>
      <c r="F238" s="9" t="n">
        <v>11.48</v>
      </c>
      <c r="G238" s="9" t="n">
        <v>26.94</v>
      </c>
      <c r="H238" s="9" t="n">
        <v>56.88</v>
      </c>
      <c r="I238" s="9" t="n">
        <v>115.98</v>
      </c>
      <c r="J238" s="9" t="n">
        <v>88.16</v>
      </c>
      <c r="K238" s="9" t="n">
        <v>13.58</v>
      </c>
      <c r="L238" s="9" t="n">
        <v>82.33</v>
      </c>
      <c r="M238" s="9" t="n">
        <v>169.13</v>
      </c>
      <c r="N238" s="9" t="n">
        <v>5.61</v>
      </c>
      <c r="O238" s="9" t="n">
        <v>31.13</v>
      </c>
      <c r="P238" s="9" t="n">
        <v>79.51000000000001</v>
      </c>
      <c r="Q238" s="9" t="n">
        <v>65.34</v>
      </c>
      <c r="R238" s="9" t="n">
        <v>62.49</v>
      </c>
      <c r="S238" s="9" t="n">
        <v>61.06</v>
      </c>
      <c r="T238" s="9" t="n">
        <v>3.67325</v>
      </c>
    </row>
    <row r="239">
      <c r="A239" s="15" t="inlineStr">
        <is>
          <t>2026-06-03</t>
        </is>
      </c>
      <c r="B239" s="12" t="n">
        <v>66.06</v>
      </c>
      <c r="C239" s="12" t="n">
        <v>90.25</v>
      </c>
      <c r="D239" s="12" t="n">
        <v>69.70999999999999</v>
      </c>
      <c r="E239" s="12" t="n">
        <v>2.1</v>
      </c>
      <c r="F239" s="12" t="n">
        <v>11.2</v>
      </c>
      <c r="G239" s="12" t="n">
        <v>27</v>
      </c>
      <c r="H239" s="12" t="n">
        <v>59.78</v>
      </c>
      <c r="I239" s="12" t="n">
        <v>110.88</v>
      </c>
      <c r="J239" s="12" t="n">
        <v>82.84999999999999</v>
      </c>
      <c r="K239" s="12" t="n">
        <v>11.61</v>
      </c>
      <c r="L239" s="12" t="n">
        <v>79.45999999999999</v>
      </c>
      <c r="M239" s="12" t="n">
        <v>169.49</v>
      </c>
      <c r="N239" s="12" t="n">
        <v>5.57</v>
      </c>
      <c r="O239" s="12" t="n">
        <v>29.5</v>
      </c>
      <c r="P239" s="12" t="n">
        <v>79.70999999999999</v>
      </c>
      <c r="Q239" s="12" t="n">
        <v>61.46</v>
      </c>
      <c r="R239" s="12" t="n">
        <v>63.97</v>
      </c>
      <c r="S239" s="12" t="n">
        <v>61.67</v>
      </c>
      <c r="T239" s="12" t="n">
        <v>3.67325</v>
      </c>
    </row>
    <row r="240">
      <c r="A240" s="14" t="inlineStr">
        <is>
          <t>2026-06-04</t>
        </is>
      </c>
      <c r="B240" s="9" t="n">
        <v>64.67</v>
      </c>
      <c r="C240" s="9" t="n">
        <v>90.22</v>
      </c>
      <c r="D240" s="9" t="n">
        <v>65.7</v>
      </c>
      <c r="E240" s="9" t="n">
        <v>2.13</v>
      </c>
      <c r="F240" s="9" t="n">
        <v>11.32</v>
      </c>
      <c r="G240" s="9" t="n">
        <v>26.66</v>
      </c>
      <c r="H240" s="9" t="n">
        <v>64.59</v>
      </c>
      <c r="I240" s="9" t="n">
        <v>111.9</v>
      </c>
      <c r="J240" s="9" t="n">
        <v>88.33</v>
      </c>
      <c r="K240" s="9" t="n">
        <v>11.97</v>
      </c>
      <c r="L240" s="9" t="n">
        <v>77</v>
      </c>
      <c r="M240" s="9" t="n">
        <v>183.91</v>
      </c>
      <c r="N240" s="9" t="n">
        <v>5.62</v>
      </c>
      <c r="O240" s="9" t="n">
        <v>29.62</v>
      </c>
      <c r="P240" s="9" t="n">
        <v>78.36</v>
      </c>
      <c r="Q240" s="9" t="n">
        <v>61.05</v>
      </c>
      <c r="R240" s="9" t="n">
        <v>63.67</v>
      </c>
      <c r="S240" s="9" t="n">
        <v>67.06</v>
      </c>
      <c r="T240" s="9" t="n">
        <v>3.6733</v>
      </c>
    </row>
    <row r="241">
      <c r="A241" s="15" t="inlineStr">
        <is>
          <t>2026-06-05</t>
        </is>
      </c>
      <c r="B241" s="12" t="n">
        <v>60.82</v>
      </c>
      <c r="C241" s="12" t="n">
        <v>80.64</v>
      </c>
      <c r="D241" s="12" t="n">
        <v>55.79</v>
      </c>
      <c r="E241" s="12" t="n">
        <v>2.19</v>
      </c>
      <c r="F241" s="12" t="n">
        <v>11.34</v>
      </c>
      <c r="G241" s="12" t="n">
        <v>26.86</v>
      </c>
      <c r="H241" s="12" t="n">
        <v>59.13</v>
      </c>
      <c r="I241" s="12" t="n">
        <v>100.59</v>
      </c>
      <c r="J241" s="12" t="n">
        <v>82.47</v>
      </c>
      <c r="K241" s="12" t="n">
        <v>10.43</v>
      </c>
      <c r="L241" s="12" t="n">
        <v>73.41</v>
      </c>
      <c r="M241" s="12" t="n">
        <v>173.45</v>
      </c>
      <c r="N241" s="12" t="n">
        <v>5.71</v>
      </c>
      <c r="O241" s="12" t="n">
        <v>26.36</v>
      </c>
      <c r="P241" s="12" t="n">
        <v>70.72</v>
      </c>
      <c r="Q241" s="12" t="n">
        <v>55.28</v>
      </c>
      <c r="R241" s="12" t="n">
        <v>57.2</v>
      </c>
      <c r="S241" s="12" t="n">
        <v>55.06</v>
      </c>
      <c r="T241" s="12" t="n">
        <v>3.6733</v>
      </c>
    </row>
    <row r="242">
      <c r="A242" s="14" t="inlineStr">
        <is>
          <t>2026-06-08</t>
        </is>
      </c>
      <c r="B242" s="9" t="n">
        <v>62.39</v>
      </c>
      <c r="C242" s="9" t="n">
        <v>81.29000000000001</v>
      </c>
      <c r="D242" s="9" t="n">
        <v>60.52</v>
      </c>
      <c r="E242" s="9" t="n">
        <v>2.16</v>
      </c>
      <c r="F242" s="9" t="n">
        <v>11.24</v>
      </c>
      <c r="G242" s="9" t="n">
        <v>26.46</v>
      </c>
      <c r="H242" s="9" t="n">
        <v>59.32</v>
      </c>
      <c r="I242" s="9" t="n">
        <v>101.61</v>
      </c>
      <c r="J242" s="9" t="n">
        <v>85.04000000000001</v>
      </c>
      <c r="K242" s="9" t="n">
        <v>10.3</v>
      </c>
      <c r="L242" s="9" t="n">
        <v>71.73</v>
      </c>
      <c r="M242" s="9" t="n">
        <v>171.13</v>
      </c>
      <c r="N242" s="9" t="n">
        <v>5.65</v>
      </c>
      <c r="O242" s="9" t="n">
        <v>26.34</v>
      </c>
      <c r="P242" s="9" t="n">
        <v>75.01000000000001</v>
      </c>
      <c r="Q242" s="9" t="n">
        <v>55.78</v>
      </c>
      <c r="R242" s="9" t="n">
        <v>57.22</v>
      </c>
      <c r="S242" s="9" t="n">
        <v>55.42</v>
      </c>
      <c r="T242" s="9" t="n">
        <v>3.6731</v>
      </c>
    </row>
    <row r="243">
      <c r="A243" s="15" t="inlineStr">
        <is>
          <t>2026-06-09</t>
        </is>
      </c>
      <c r="B243" s="12" t="n">
        <v>61.32</v>
      </c>
      <c r="C243" s="12" t="n">
        <v>80.14</v>
      </c>
      <c r="D243" s="12" t="n">
        <v>59.86</v>
      </c>
      <c r="E243" s="12" t="n">
        <v>2.22</v>
      </c>
      <c r="F243" s="12" t="n">
        <v>11.22</v>
      </c>
      <c r="G243" s="12" t="n">
        <v>26.98</v>
      </c>
      <c r="H243" s="12" t="n">
        <v>57.15</v>
      </c>
      <c r="I243" s="12" t="n">
        <v>99.54000000000001</v>
      </c>
      <c r="J243" s="12" t="n">
        <v>83.77</v>
      </c>
      <c r="K243" s="12" t="n">
        <v>9.65</v>
      </c>
      <c r="L243" s="12" t="n">
        <v>71.73999999999999</v>
      </c>
      <c r="M243" s="12" t="n">
        <v>178.11</v>
      </c>
      <c r="N243" s="12" t="n">
        <v>5.73</v>
      </c>
      <c r="O243" s="12" t="n">
        <v>25.68</v>
      </c>
      <c r="P243" s="12" t="n">
        <v>73.31999999999999</v>
      </c>
      <c r="Q243" s="12" t="n">
        <v>53.75</v>
      </c>
      <c r="R243" s="12" t="n">
        <v>58.58</v>
      </c>
      <c r="S243" s="12" t="n">
        <v>48.78</v>
      </c>
      <c r="T243" s="12" t="n">
        <v>3.6731</v>
      </c>
    </row>
    <row r="244">
      <c r="A244" s="14" t="inlineStr">
        <is>
          <t>2026-06-10</t>
        </is>
      </c>
      <c r="B244" s="9" t="n">
        <v>58.69</v>
      </c>
      <c r="C244" s="9" t="n">
        <v>77.45</v>
      </c>
      <c r="D244" s="9" t="n">
        <v>57.37</v>
      </c>
      <c r="E244" s="9" t="n">
        <v>2.24</v>
      </c>
      <c r="F244" s="9" t="n">
        <v>11.06</v>
      </c>
      <c r="G244" s="9" t="n">
        <v>26.62</v>
      </c>
      <c r="H244" s="9" t="n">
        <v>53.2</v>
      </c>
      <c r="I244" s="9" t="n">
        <v>94.54000000000001</v>
      </c>
      <c r="J244" s="9" t="n">
        <v>86.36</v>
      </c>
      <c r="K244" s="9" t="n">
        <v>9.31</v>
      </c>
      <c r="L244" s="9" t="n">
        <v>71.31999999999999</v>
      </c>
      <c r="M244" s="9" t="n">
        <v>172.21</v>
      </c>
      <c r="N244" s="9" t="n">
        <v>5.71</v>
      </c>
      <c r="O244" s="9" t="n">
        <v>24.52</v>
      </c>
      <c r="P244" s="9" t="n">
        <v>70.73999999999999</v>
      </c>
      <c r="Q244" s="9" t="n">
        <v>51.47</v>
      </c>
      <c r="R244" s="9" t="n">
        <v>54.65</v>
      </c>
      <c r="S244" s="9" t="n">
        <v>43.42</v>
      </c>
      <c r="T244" s="9" t="n">
        <v>3.6731</v>
      </c>
    </row>
    <row r="245">
      <c r="A245" s="15" t="inlineStr">
        <is>
          <t>2026-06-11</t>
        </is>
      </c>
      <c r="B245" s="12" t="n">
        <v>62.11</v>
      </c>
      <c r="C245" s="12" t="n">
        <v>83.16</v>
      </c>
      <c r="D245" s="12" t="n">
        <v>65.12</v>
      </c>
      <c r="E245" s="12" t="n">
        <v>2.22</v>
      </c>
      <c r="F245" s="12" t="n">
        <v>10.8</v>
      </c>
      <c r="G245" s="12" t="n">
        <v>26.58</v>
      </c>
      <c r="H245" s="12" t="n">
        <v>58.21</v>
      </c>
      <c r="I245" s="12" t="n">
        <v>101.08</v>
      </c>
      <c r="J245" s="12" t="n">
        <v>92.23</v>
      </c>
      <c r="K245" s="12" t="n">
        <v>9.83</v>
      </c>
      <c r="L245" s="12" t="n">
        <v>71.45</v>
      </c>
      <c r="M245" s="12" t="n">
        <v>173.26</v>
      </c>
      <c r="N245" s="12" t="n">
        <v>5.6</v>
      </c>
      <c r="O245" s="12" t="n">
        <v>26.33</v>
      </c>
      <c r="P245" s="12" t="n">
        <v>78.12</v>
      </c>
      <c r="Q245" s="12" t="n">
        <v>54.29</v>
      </c>
      <c r="R245" s="12" t="n">
        <v>58.6</v>
      </c>
      <c r="S245" s="12" t="n">
        <v>45.54</v>
      </c>
      <c r="T245" s="12" t="n">
        <v>3.6731</v>
      </c>
    </row>
    <row r="246">
      <c r="A246" s="14" t="inlineStr">
        <is>
          <t>2026-06-12</t>
        </is>
      </c>
      <c r="B246" s="9" t="n">
        <v>63.61</v>
      </c>
      <c r="C246" s="9" t="n">
        <v>85.97</v>
      </c>
      <c r="D246" s="9" t="n">
        <v>65.01000000000001</v>
      </c>
      <c r="E246" s="9" t="n">
        <v>2.26</v>
      </c>
      <c r="F246" s="9" t="n">
        <v>11.7</v>
      </c>
      <c r="G246" s="9" t="n">
        <v>28.7</v>
      </c>
      <c r="H246" s="9" t="n">
        <v>59.03</v>
      </c>
      <c r="I246" s="9" t="n">
        <v>104.26</v>
      </c>
      <c r="J246" s="9" t="n">
        <v>93.19</v>
      </c>
      <c r="K246" s="9" t="n">
        <v>9.33</v>
      </c>
      <c r="L246" s="9" t="n">
        <v>68.19</v>
      </c>
      <c r="M246" s="9" t="n">
        <v>162.1</v>
      </c>
      <c r="N246" s="9" t="n">
        <v>5.79</v>
      </c>
      <c r="O246" s="9" t="n">
        <v>27.18</v>
      </c>
      <c r="P246" s="9" t="n">
        <v>77.3</v>
      </c>
      <c r="Q246" s="9" t="n">
        <v>54.58</v>
      </c>
      <c r="R246" s="9" t="n">
        <v>59.38</v>
      </c>
      <c r="S246" s="9" t="n">
        <v>43.14</v>
      </c>
      <c r="T246" s="9" t="n">
        <v>3.6731</v>
      </c>
    </row>
    <row r="247">
      <c r="A247" s="15" t="inlineStr">
        <is>
          <t>2026-06-15</t>
        </is>
      </c>
      <c r="B247" s="12" t="n">
        <v>65.90000000000001</v>
      </c>
      <c r="C247" s="12" t="n">
        <v>89.81</v>
      </c>
      <c r="D247" s="12" t="n">
        <v>71.06999999999999</v>
      </c>
      <c r="E247" s="12" t="n">
        <v>2.26</v>
      </c>
      <c r="F247" s="12" t="n">
        <v>11.7</v>
      </c>
      <c r="G247" s="12" t="n">
        <v>28.7</v>
      </c>
      <c r="H247" s="12" t="n">
        <v>60.51</v>
      </c>
      <c r="I247" s="12" t="n">
        <v>111.88</v>
      </c>
      <c r="J247" s="12" t="n">
        <v>98.12</v>
      </c>
      <c r="K247" s="12" t="n">
        <v>9.51</v>
      </c>
      <c r="L247" s="12" t="n">
        <v>69.79000000000001</v>
      </c>
      <c r="M247" s="12" t="n">
        <v>181.88</v>
      </c>
      <c r="N247" s="12" t="n">
        <v>5.79</v>
      </c>
      <c r="O247" s="12" t="n">
        <v>29.11</v>
      </c>
      <c r="P247" s="12" t="n">
        <v>78.95</v>
      </c>
      <c r="Q247" s="12" t="n">
        <v>57.9</v>
      </c>
      <c r="R247" s="12" t="n">
        <v>63.72</v>
      </c>
      <c r="S247" s="12" t="n">
        <v>49.09</v>
      </c>
      <c r="T247" s="12" t="n">
        <v>3.6731</v>
      </c>
    </row>
    <row r="248">
      <c r="A248" s="14" t="inlineStr">
        <is>
          <t>2026-06-16</t>
        </is>
      </c>
      <c r="B248" s="9" t="n">
        <v>65.41</v>
      </c>
      <c r="C248" s="9" t="n">
        <v>89.79000000000001</v>
      </c>
      <c r="D248" s="9" t="n">
        <v>68.12</v>
      </c>
      <c r="E248" s="9" t="n">
        <v>2.3</v>
      </c>
      <c r="F248" s="9" t="n">
        <v>12.3</v>
      </c>
      <c r="G248" s="9" t="n">
        <v>29.96</v>
      </c>
      <c r="H248" s="9" t="n">
        <v>59.37</v>
      </c>
      <c r="I248" s="9" t="n">
        <v>114.44</v>
      </c>
      <c r="J248" s="9" t="n">
        <v>96.70999999999999</v>
      </c>
      <c r="K248" s="9" t="n">
        <v>9.210000000000001</v>
      </c>
      <c r="L248" s="9" t="n">
        <v>69.18000000000001</v>
      </c>
      <c r="M248" s="9" t="n">
        <v>175.39</v>
      </c>
      <c r="N248" s="9" t="n">
        <v>5.86</v>
      </c>
      <c r="O248" s="9" t="n">
        <v>29.69</v>
      </c>
      <c r="P248" s="9" t="n">
        <v>74.55</v>
      </c>
      <c r="Q248" s="9" t="n">
        <v>57.73</v>
      </c>
      <c r="R248" s="9" t="n">
        <v>60.41</v>
      </c>
      <c r="S248" s="9" t="n">
        <v>45</v>
      </c>
      <c r="T248" s="9" t="n">
        <v>3.673025</v>
      </c>
    </row>
    <row r="249">
      <c r="A249" s="15" t="inlineStr">
        <is>
          <t>2026-06-17</t>
        </is>
      </c>
      <c r="B249" s="12" t="n">
        <v>64.77</v>
      </c>
      <c r="C249" s="12" t="n">
        <v>86.76000000000001</v>
      </c>
      <c r="D249" s="12" t="n">
        <v>69.95</v>
      </c>
      <c r="E249" s="12" t="n">
        <v>2.34</v>
      </c>
      <c r="F249" s="12" t="n">
        <v>12.72</v>
      </c>
      <c r="G249" s="12" t="n">
        <v>30.22</v>
      </c>
      <c r="H249" s="12" t="n">
        <v>61.92</v>
      </c>
      <c r="I249" s="12" t="n">
        <v>109.79</v>
      </c>
      <c r="J249" s="12" t="n">
        <v>105.2</v>
      </c>
      <c r="K249" s="12" t="n">
        <v>9.119999999999999</v>
      </c>
      <c r="L249" s="12" t="n">
        <v>69.23999999999999</v>
      </c>
      <c r="M249" s="12" t="n">
        <v>165.95</v>
      </c>
      <c r="N249" s="12" t="n">
        <v>5.95</v>
      </c>
      <c r="O249" s="12" t="n">
        <v>28.59</v>
      </c>
      <c r="P249" s="12" t="n">
        <v>73.36</v>
      </c>
      <c r="Q249" s="12" t="n">
        <v>57.08</v>
      </c>
      <c r="R249" s="12" t="n">
        <v>60.33</v>
      </c>
      <c r="S249" s="12" t="n">
        <v>48.69</v>
      </c>
      <c r="T249" s="12" t="n">
        <v>3.673</v>
      </c>
    </row>
    <row r="250">
      <c r="A250" s="14" t="inlineStr">
        <is>
          <t>2026-06-18</t>
        </is>
      </c>
      <c r="B250" s="9" t="n">
        <v>66.09999999999999</v>
      </c>
      <c r="C250" s="9" t="n">
        <v>85.48</v>
      </c>
      <c r="D250" s="9" t="n">
        <v>76.70999999999999</v>
      </c>
      <c r="E250" s="9" t="n">
        <v>2.48</v>
      </c>
      <c r="F250" s="9" t="n">
        <v>13.02</v>
      </c>
      <c r="G250" s="9" t="n">
        <v>32.4</v>
      </c>
      <c r="H250" s="9" t="n">
        <v>63.41</v>
      </c>
      <c r="I250" s="9" t="n">
        <v>107.22</v>
      </c>
      <c r="J250" s="9" t="n">
        <v>108.15</v>
      </c>
      <c r="K250" s="9" t="n">
        <v>9.27</v>
      </c>
      <c r="L250" s="9" t="n">
        <v>70.22</v>
      </c>
      <c r="M250" s="9" t="n">
        <v>174.96</v>
      </c>
      <c r="N250" s="9" t="n">
        <v>6.1</v>
      </c>
      <c r="O250" s="9" t="n">
        <v>27.92</v>
      </c>
      <c r="P250" s="9" t="n">
        <v>78.39</v>
      </c>
      <c r="Q250" s="9" t="n">
        <v>57.47</v>
      </c>
      <c r="R250" s="9" t="n">
        <v>64.90000000000001</v>
      </c>
      <c r="S250" s="9" t="n">
        <v>57.41</v>
      </c>
      <c r="T250" s="9" t="n">
        <v>3.673375</v>
      </c>
    </row>
    <row r="251">
      <c r="A251" s="15" t="inlineStr">
        <is>
          <t>2026-06-19</t>
        </is>
      </c>
      <c r="B251" s="12" t="n">
        <v>66.09999999999999</v>
      </c>
      <c r="C251" s="12" t="n">
        <v>85.48</v>
      </c>
      <c r="D251" s="12" t="n">
        <v>76.70999999999999</v>
      </c>
      <c r="E251" s="12" t="n">
        <v>2.42</v>
      </c>
      <c r="F251" s="12" t="n">
        <v>12.96</v>
      </c>
      <c r="G251" s="12" t="n">
        <v>30.98</v>
      </c>
      <c r="H251" s="12" t="n">
        <v>63.41</v>
      </c>
      <c r="I251" s="12" t="n">
        <v>107.22</v>
      </c>
      <c r="J251" s="12" t="n">
        <v>108.15</v>
      </c>
      <c r="K251" s="12" t="n">
        <v>9.27</v>
      </c>
      <c r="L251" s="12" t="n">
        <v>70.22</v>
      </c>
      <c r="M251" s="12" t="n">
        <v>174.96</v>
      </c>
      <c r="N251" s="12" t="n">
        <v>5.96</v>
      </c>
      <c r="O251" s="12" t="n">
        <v>27.92</v>
      </c>
      <c r="P251" s="12" t="n">
        <v>78.39</v>
      </c>
      <c r="Q251" s="12" t="n">
        <v>57.47</v>
      </c>
      <c r="R251" s="12" t="n">
        <v>64.90000000000001</v>
      </c>
      <c r="S251" s="12" t="n">
        <v>57.41</v>
      </c>
      <c r="T251" s="12" t="n">
        <v>3.673375</v>
      </c>
    </row>
    <row r="252">
      <c r="A252" s="14" t="inlineStr">
        <is>
          <t>2026-06-22</t>
        </is>
      </c>
      <c r="B252" s="9" t="n">
        <v>67.59999999999999</v>
      </c>
      <c r="C252" s="9" t="n">
        <v>84.89</v>
      </c>
      <c r="D252" s="9" t="n">
        <v>80.72</v>
      </c>
      <c r="E252" s="9" t="n">
        <v>2.42</v>
      </c>
      <c r="F252" s="9" t="n">
        <v>12.9</v>
      </c>
      <c r="G252" s="9" t="n">
        <v>31.58</v>
      </c>
      <c r="H252" s="9" t="n">
        <v>61.84</v>
      </c>
      <c r="I252" s="9" t="n">
        <v>106.12</v>
      </c>
      <c r="J252" s="9" t="n">
        <v>105.71</v>
      </c>
      <c r="K252" s="9" t="n">
        <v>8.890000000000001</v>
      </c>
      <c r="L252" s="9" t="n">
        <v>70.53</v>
      </c>
      <c r="M252" s="9" t="n">
        <v>170.44</v>
      </c>
      <c r="N252" s="9" t="n">
        <v>5.89</v>
      </c>
      <c r="O252" s="9" t="n">
        <v>27.62</v>
      </c>
      <c r="P252" s="9" t="n">
        <v>79.91</v>
      </c>
      <c r="Q252" s="9" t="n">
        <v>56.18</v>
      </c>
      <c r="R252" s="9" t="n">
        <v>64.27</v>
      </c>
      <c r="S252" s="9" t="n">
        <v>52.97</v>
      </c>
      <c r="T252" s="9" t="n">
        <v>3.673125</v>
      </c>
    </row>
    <row r="253">
      <c r="A253" s="15" t="inlineStr">
        <is>
          <t>2026-06-23</t>
        </is>
      </c>
      <c r="B253" s="12" t="n">
        <v>63.96</v>
      </c>
      <c r="C253" s="12" t="n">
        <v>79.48</v>
      </c>
      <c r="D253" s="12" t="n">
        <v>69.22</v>
      </c>
      <c r="E253" s="12" t="n">
        <v>2.38</v>
      </c>
      <c r="F253" s="12" t="n">
        <v>12.6</v>
      </c>
      <c r="G253" s="12" t="n">
        <v>30.82</v>
      </c>
      <c r="H253" s="12" t="n">
        <v>59.3</v>
      </c>
      <c r="I253" s="12" t="n">
        <v>100.56</v>
      </c>
      <c r="J253" s="12" t="n">
        <v>103.25</v>
      </c>
      <c r="K253" s="12" t="n">
        <v>8.529999999999999</v>
      </c>
      <c r="L253" s="12" t="n">
        <v>74.23999999999999</v>
      </c>
      <c r="M253" s="12" t="n">
        <v>165.63</v>
      </c>
      <c r="N253" s="12" t="n">
        <v>5.8</v>
      </c>
      <c r="O253" s="12" t="n">
        <v>26.03</v>
      </c>
      <c r="P253" s="12" t="n">
        <v>72.43000000000001</v>
      </c>
      <c r="Q253" s="12" t="n">
        <v>55.69</v>
      </c>
      <c r="R253" s="12" t="n">
        <v>58.96</v>
      </c>
      <c r="S253" s="12" t="n">
        <v>48.91</v>
      </c>
      <c r="T253" s="12" t="n">
        <v>3.6731</v>
      </c>
    </row>
    <row r="254">
      <c r="A254" s="14" t="inlineStr">
        <is>
          <t>2026-06-24</t>
        </is>
      </c>
      <c r="B254" s="9" t="n">
        <v>63.64</v>
      </c>
      <c r="C254" s="9" t="n">
        <v>75.7</v>
      </c>
      <c r="D254" s="9" t="n">
        <v>69.93000000000001</v>
      </c>
      <c r="E254" s="9" t="n">
        <v>2.33</v>
      </c>
      <c r="F254" s="9" t="n">
        <v>12.56</v>
      </c>
      <c r="G254" s="9" t="n">
        <v>30.8</v>
      </c>
      <c r="H254" s="9" t="n">
        <v>60.12</v>
      </c>
      <c r="I254" s="9" t="n">
        <v>96.08</v>
      </c>
      <c r="J254" s="9" t="n">
        <v>97.19</v>
      </c>
      <c r="K254" s="9" t="n">
        <v>7.68</v>
      </c>
      <c r="L254" s="9" t="n">
        <v>74.52</v>
      </c>
      <c r="M254" s="9" t="n">
        <v>160.72</v>
      </c>
      <c r="N254" s="9" t="n">
        <v>6</v>
      </c>
      <c r="O254" s="9" t="n">
        <v>24.9</v>
      </c>
      <c r="P254" s="9" t="n">
        <v>71.84</v>
      </c>
      <c r="Q254" s="9" t="n">
        <v>54.29</v>
      </c>
      <c r="R254" s="9" t="n">
        <v>55.59</v>
      </c>
      <c r="S254" s="9" t="n">
        <v>45.87</v>
      </c>
      <c r="T254" s="9" t="n">
        <v>3.67305</v>
      </c>
    </row>
    <row r="255">
      <c r="A255" s="15" t="inlineStr">
        <is>
          <t>2026-06-25</t>
        </is>
      </c>
      <c r="B255" s="12" t="n">
        <v>66.54000000000001</v>
      </c>
      <c r="C255" s="12" t="n">
        <v>76.48</v>
      </c>
      <c r="D255" s="12" t="n">
        <v>76.89</v>
      </c>
      <c r="E255" s="12" t="n">
        <v>2.35</v>
      </c>
      <c r="F255" s="12" t="n">
        <v>12.2</v>
      </c>
      <c r="G255" s="12" t="n">
        <v>30.4</v>
      </c>
      <c r="H255" s="12" t="n">
        <v>58.7</v>
      </c>
      <c r="I255" s="12" t="n">
        <v>97.90000000000001</v>
      </c>
      <c r="J255" s="12" t="n">
        <v>93.47</v>
      </c>
      <c r="K255" s="12" t="n">
        <v>7.675</v>
      </c>
      <c r="L255" s="12" t="n">
        <v>71.02</v>
      </c>
      <c r="M255" s="12" t="n">
        <v>158.02</v>
      </c>
      <c r="N255" s="12" t="n">
        <v>5.9</v>
      </c>
      <c r="O255" s="12" t="n">
        <v>25.55</v>
      </c>
      <c r="P255" s="12" t="n">
        <v>74.88</v>
      </c>
      <c r="Q255" s="12" t="n">
        <v>53.26</v>
      </c>
      <c r="R255" s="12" t="n">
        <v>59.91</v>
      </c>
      <c r="S255" s="12" t="n">
        <v>47.79</v>
      </c>
      <c r="T255" s="12" t="n">
        <v>3.67305</v>
      </c>
    </row>
    <row r="256">
      <c r="A256" s="14" t="inlineStr">
        <is>
          <t>2026-06-26</t>
        </is>
      </c>
      <c r="B256" s="9" t="n">
        <v>66.56</v>
      </c>
      <c r="C256" s="9" t="n">
        <v>76.18000000000001</v>
      </c>
      <c r="D256" s="9" t="n">
        <v>71.88</v>
      </c>
      <c r="E256" s="9" t="n">
        <v>2.33</v>
      </c>
      <c r="F256" s="9" t="n">
        <v>12.2</v>
      </c>
      <c r="G256" s="9" t="n">
        <v>30.44</v>
      </c>
      <c r="H256" s="9" t="n">
        <v>55.13</v>
      </c>
      <c r="I256" s="9" t="n">
        <v>100.29</v>
      </c>
      <c r="J256" s="9" t="n">
        <v>98.69</v>
      </c>
      <c r="K256" s="9" t="n">
        <v>7.83</v>
      </c>
      <c r="L256" s="9" t="n">
        <v>72.33</v>
      </c>
      <c r="M256" s="9" t="n">
        <v>166.94</v>
      </c>
      <c r="N256" s="9" t="n">
        <v>5.87</v>
      </c>
      <c r="O256" s="9" t="n">
        <v>26.12</v>
      </c>
      <c r="P256" s="9" t="n">
        <v>71.42</v>
      </c>
      <c r="Q256" s="9" t="n">
        <v>53.05</v>
      </c>
      <c r="R256" s="9" t="n">
        <v>56.35</v>
      </c>
      <c r="S256" s="9" t="n">
        <v>45.97</v>
      </c>
      <c r="T256" s="9" t="n">
        <v>3.67305</v>
      </c>
    </row>
    <row r="257">
      <c r="A257" s="15" t="inlineStr">
        <is>
          <t>2026-06-29</t>
        </is>
      </c>
      <c r="B257" s="12" t="n">
        <v>68.36</v>
      </c>
      <c r="C257" s="12" t="n">
        <v>75.73999999999999</v>
      </c>
      <c r="D257" s="12" t="n">
        <v>71.94</v>
      </c>
      <c r="E257" s="12" t="n">
        <v>2.31</v>
      </c>
      <c r="F257" s="12" t="n">
        <v>12.14</v>
      </c>
      <c r="G257" s="12" t="n">
        <v>30.1</v>
      </c>
      <c r="H257" s="12" t="n">
        <v>54.99</v>
      </c>
      <c r="I257" s="12" t="n">
        <v>98.92</v>
      </c>
      <c r="J257" s="12" t="n">
        <v>101.83</v>
      </c>
      <c r="K257" s="12" t="n">
        <v>8.02</v>
      </c>
      <c r="L257" s="12" t="n">
        <v>76.52</v>
      </c>
      <c r="M257" s="12" t="n">
        <v>174.39</v>
      </c>
      <c r="N257" s="12" t="n">
        <v>5.88</v>
      </c>
      <c r="O257" s="12" t="n">
        <v>25.79</v>
      </c>
      <c r="P257" s="12" t="n">
        <v>74.79000000000001</v>
      </c>
      <c r="Q257" s="12" t="n">
        <v>53.13</v>
      </c>
      <c r="R257" s="12" t="n">
        <v>56.28</v>
      </c>
      <c r="S257" s="12" t="n">
        <v>44.24</v>
      </c>
      <c r="T257" s="12" t="n">
        <v>3.67305</v>
      </c>
    </row>
    <row r="258">
      <c r="A258" s="14" t="inlineStr">
        <is>
          <t>2026-06-30</t>
        </is>
      </c>
      <c r="B258" s="9" t="n">
        <v>72.42</v>
      </c>
      <c r="C258" s="9" t="n">
        <v>76.97</v>
      </c>
      <c r="D258" s="9" t="n">
        <v>73.84999999999999</v>
      </c>
      <c r="E258" s="9" t="n">
        <v>2.34</v>
      </c>
      <c r="F258" s="9" t="n">
        <v>11.92</v>
      </c>
      <c r="G258" s="9" t="n">
        <v>29.56</v>
      </c>
      <c r="H258" s="9" t="n">
        <v>55.86</v>
      </c>
      <c r="I258" s="9" t="n">
        <v>98.25</v>
      </c>
      <c r="J258" s="9" t="n">
        <v>100.28</v>
      </c>
      <c r="K258" s="9" t="n">
        <v>8.24</v>
      </c>
      <c r="L258" s="9" t="n">
        <v>80.28</v>
      </c>
      <c r="M258" s="9" t="n">
        <v>173.58</v>
      </c>
      <c r="N258" s="9" t="n">
        <v>5.88</v>
      </c>
      <c r="O258" s="9" t="n">
        <v>25.92</v>
      </c>
      <c r="P258" s="9" t="n">
        <v>74.89</v>
      </c>
      <c r="Q258" s="9" t="n">
        <v>52.59</v>
      </c>
      <c r="R258" s="9" t="n">
        <v>53.78</v>
      </c>
      <c r="S258" s="9" t="n">
        <v>48.25</v>
      </c>
      <c r="T258" s="9" t="n">
        <v>3.673</v>
      </c>
    </row>
    <row r="259">
      <c r="A259" s="15" t="inlineStr">
        <is>
          <t>2026-07-01</t>
        </is>
      </c>
      <c r="B259" s="12" t="n">
        <v>71.31</v>
      </c>
      <c r="C259" s="12" t="n">
        <v>75.29000000000001</v>
      </c>
      <c r="D259" s="12" t="n">
        <v>65.86</v>
      </c>
      <c r="E259" s="12" t="n">
        <v>2.3</v>
      </c>
      <c r="F259" s="12" t="n">
        <v>12.04</v>
      </c>
      <c r="G259" s="12" t="n">
        <v>30.02</v>
      </c>
      <c r="H259" s="12" t="n">
        <v>49.9</v>
      </c>
      <c r="I259" s="12" t="n">
        <v>98.05</v>
      </c>
      <c r="J259" s="12" t="n">
        <v>108.65</v>
      </c>
      <c r="K259" s="12" t="n">
        <v>7.92</v>
      </c>
      <c r="L259" s="12" t="n">
        <v>82.01000000000001</v>
      </c>
      <c r="M259" s="12" t="n">
        <v>197.76</v>
      </c>
      <c r="N259" s="12" t="n">
        <v>5.93</v>
      </c>
      <c r="O259" s="12" t="n">
        <v>25.91</v>
      </c>
      <c r="P259" s="12" t="n">
        <v>70.72</v>
      </c>
      <c r="Q259" s="12" t="n">
        <v>52.37</v>
      </c>
      <c r="R259" s="12" t="n">
        <v>51.21</v>
      </c>
      <c r="S259" s="12" t="n">
        <v>44.56</v>
      </c>
      <c r="T259" s="12" t="n">
        <v>3.673</v>
      </c>
    </row>
    <row r="260">
      <c r="A260" s="14" t="inlineStr">
        <is>
          <t>2026-07-02</t>
        </is>
      </c>
      <c r="B260" s="9" t="n">
        <v>67.8</v>
      </c>
      <c r="C260" s="9" t="n">
        <v>76.65000000000001</v>
      </c>
      <c r="D260" s="9" t="n">
        <v>60.63</v>
      </c>
      <c r="E260" s="9" t="n">
        <v>2.32</v>
      </c>
      <c r="F260" s="9" t="n">
        <v>11.94</v>
      </c>
      <c r="G260" s="9" t="n">
        <v>30.2</v>
      </c>
      <c r="H260" s="9" t="n">
        <v>46.86</v>
      </c>
      <c r="I260" s="9" t="n">
        <v>102.91</v>
      </c>
      <c r="J260" s="9" t="n">
        <v>112.73</v>
      </c>
      <c r="K260" s="9" t="n">
        <v>7.41</v>
      </c>
      <c r="L260" s="9" t="n">
        <v>83.64</v>
      </c>
      <c r="M260" s="9" t="n">
        <v>194.67</v>
      </c>
      <c r="N260" s="9" t="n">
        <v>5.8</v>
      </c>
      <c r="O260" s="9" t="n">
        <v>26.73</v>
      </c>
      <c r="P260" s="9" t="n">
        <v>68.34999999999999</v>
      </c>
      <c r="Q260" s="9" t="n">
        <v>52.83</v>
      </c>
      <c r="R260" s="9" t="n">
        <v>45.92</v>
      </c>
      <c r="S260" s="9" t="n">
        <v>40</v>
      </c>
      <c r="T260" s="9" t="n">
        <v>3.673075</v>
      </c>
    </row>
    <row r="261">
      <c r="A261" s="15" t="inlineStr">
        <is>
          <t>2026-07-03</t>
        </is>
      </c>
      <c r="B261" s="12" t="n">
        <v>67.8</v>
      </c>
      <c r="C261" s="12" t="n">
        <v>76.65000000000001</v>
      </c>
      <c r="D261" s="12" t="n">
        <v>60.63</v>
      </c>
      <c r="E261" s="12" t="n">
        <v>2.33</v>
      </c>
      <c r="F261" s="12" t="n">
        <v>12.12</v>
      </c>
      <c r="G261" s="12" t="n">
        <v>30.64</v>
      </c>
      <c r="H261" s="12" t="n">
        <v>46.86</v>
      </c>
      <c r="I261" s="12" t="n">
        <v>102.91</v>
      </c>
      <c r="J261" s="12" t="n">
        <v>112.73</v>
      </c>
      <c r="K261" s="12" t="n">
        <v>7.41</v>
      </c>
      <c r="L261" s="12" t="n">
        <v>83.64</v>
      </c>
      <c r="M261" s="12" t="n">
        <v>194.67</v>
      </c>
      <c r="N261" s="12" t="n">
        <v>5.94</v>
      </c>
      <c r="O261" s="12" t="n">
        <v>26.73</v>
      </c>
      <c r="P261" s="12" t="n">
        <v>68.34999999999999</v>
      </c>
      <c r="Q261" s="12" t="n">
        <v>52.83</v>
      </c>
      <c r="R261" s="12" t="n">
        <v>45.92</v>
      </c>
      <c r="S261" s="12" t="n">
        <v>40</v>
      </c>
      <c r="T261" s="12" t="n">
        <v>3.673075</v>
      </c>
    </row>
    <row r="262">
      <c r="A262" s="14" t="inlineStr">
        <is>
          <t>2026-07-05</t>
        </is>
      </c>
      <c r="B262" s="9" t="n">
        <v>67.8</v>
      </c>
      <c r="C262" s="9" t="n">
        <v>76.65000000000001</v>
      </c>
      <c r="D262" s="9" t="n">
        <v>60.63</v>
      </c>
      <c r="E262" s="9" t="n">
        <v>2.33</v>
      </c>
      <c r="F262" s="9" t="n">
        <v>12.12</v>
      </c>
      <c r="G262" s="9" t="n">
        <v>30.64</v>
      </c>
      <c r="H262" s="9" t="n">
        <v>46.86</v>
      </c>
      <c r="I262" s="9" t="n">
        <v>102.91</v>
      </c>
      <c r="J262" s="9" t="n">
        <v>112.73</v>
      </c>
      <c r="K262" s="9" t="n">
        <v>7.41</v>
      </c>
      <c r="L262" s="9" t="n">
        <v>83.64</v>
      </c>
      <c r="M262" s="9" t="n">
        <v>194.67</v>
      </c>
      <c r="N262" s="9" t="n">
        <v>5.94</v>
      </c>
      <c r="O262" s="9" t="n">
        <v>26.73</v>
      </c>
      <c r="P262" s="9" t="n">
        <v>68.34999999999999</v>
      </c>
      <c r="Q262" s="9" t="n">
        <v>52.83</v>
      </c>
      <c r="R262" s="9" t="n">
        <v>45.92</v>
      </c>
      <c r="S262" s="9" t="n">
        <v>40</v>
      </c>
      <c r="T262" s="9" t="n">
        <v>3.673075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0" customHeight="1">
      <c r="A1" s="7" t="inlineStr">
        <is>
          <t>Ticker</t>
        </is>
      </c>
      <c r="B1" s="7" t="inlineStr">
        <is>
          <t>Company</t>
        </is>
      </c>
      <c r="C1" s="7" t="inlineStr">
        <is>
          <t>Sector</t>
        </is>
      </c>
      <c r="D1" s="7" t="inlineStr">
        <is>
          <t>Industry</t>
        </is>
      </c>
      <c r="E1" s="7" t="inlineStr">
        <is>
          <t>Country</t>
        </is>
      </c>
      <c r="F1" s="7" t="inlineStr">
        <is>
          <t>Beta</t>
        </is>
      </c>
      <c r="G1" s="7" t="inlineStr">
        <is>
          <t>AvgCost</t>
        </is>
      </c>
      <c r="H1" s="7" t="inlineStr">
        <is>
          <t>Currency</t>
        </is>
      </c>
    </row>
    <row r="2">
      <c r="A2" s="8" t="inlineStr">
        <is>
          <t>CGNX</t>
        </is>
      </c>
      <c r="B2" s="8" t="inlineStr">
        <is>
          <t>COGNEX CORP</t>
        </is>
      </c>
      <c r="C2" s="8" t="inlineStr">
        <is>
          <t>Information Technology</t>
        </is>
      </c>
      <c r="D2" s="8" t="inlineStr">
        <is>
          <t>Electronic Equipment &amp; Instruments (Machine Vision)</t>
        </is>
      </c>
      <c r="E2" s="8" t="inlineStr">
        <is>
          <t>United States</t>
        </is>
      </c>
      <c r="F2" s="8" t="inlineStr">
        <is>
          <t>N/A</t>
        </is>
      </c>
      <c r="G2" s="9" t="n">
        <v>66.40718333</v>
      </c>
      <c r="H2" s="8" t="inlineStr">
        <is>
          <t>USD</t>
        </is>
      </c>
    </row>
    <row r="3">
      <c r="A3" s="11" t="inlineStr">
        <is>
          <t>COPX</t>
        </is>
      </c>
      <c r="B3" s="11" t="inlineStr">
        <is>
          <t>GLOBAL X COPPER MINERS ETF</t>
        </is>
      </c>
      <c r="C3" s="11" t="inlineStr">
        <is>
          <t>Materials (ETF)</t>
        </is>
      </c>
      <c r="D3" s="11" t="inlineStr">
        <is>
          <t>Copper Mining</t>
        </is>
      </c>
      <c r="E3" s="11" t="inlineStr">
        <is>
          <t>United States</t>
        </is>
      </c>
      <c r="F3" s="11" t="inlineStr">
        <is>
          <t>N/A</t>
        </is>
      </c>
      <c r="G3" s="12" t="n">
        <v>87.4567</v>
      </c>
      <c r="H3" s="11" t="inlineStr">
        <is>
          <t>USD</t>
        </is>
      </c>
    </row>
    <row r="4">
      <c r="A4" s="8" t="inlineStr">
        <is>
          <t>DRAM</t>
        </is>
      </c>
      <c r="B4" s="8" t="inlineStr">
        <is>
          <t>ROUNDHILL MEMORY ETF</t>
        </is>
      </c>
      <c r="C4" s="8" t="inlineStr">
        <is>
          <t>Information Technology (ETF)</t>
        </is>
      </c>
      <c r="D4" s="8" t="inlineStr">
        <is>
          <t>Semiconductor Memory</t>
        </is>
      </c>
      <c r="E4" s="8" t="inlineStr">
        <is>
          <t>United States</t>
        </is>
      </c>
      <c r="F4" s="8" t="inlineStr">
        <is>
          <t>N/A</t>
        </is>
      </c>
      <c r="G4" s="9" t="n">
        <v>70.92995833000001</v>
      </c>
      <c r="H4" s="8" t="inlineStr">
        <is>
          <t>USD</t>
        </is>
      </c>
    </row>
    <row r="5">
      <c r="A5" s="11" t="inlineStr">
        <is>
          <t>DTC</t>
        </is>
      </c>
      <c r="B5" s="11" t="inlineStr">
        <is>
          <t>DUBAI TAXI CO PJSC</t>
        </is>
      </c>
      <c r="C5" s="11" t="inlineStr">
        <is>
          <t>Industrials</t>
        </is>
      </c>
      <c r="D5" s="11" t="inlineStr">
        <is>
          <t>Ground Transportation</t>
        </is>
      </c>
      <c r="E5" s="11" t="inlineStr">
        <is>
          <t>United Arab Emirates</t>
        </is>
      </c>
      <c r="F5" s="11" t="inlineStr">
        <is>
          <t>N/A</t>
        </is>
      </c>
      <c r="G5" s="12" t="n">
        <v>2.22578947</v>
      </c>
      <c r="H5" s="11" t="inlineStr">
        <is>
          <t>AED</t>
        </is>
      </c>
    </row>
    <row r="6">
      <c r="A6" s="8" t="inlineStr">
        <is>
          <t>EMAAR</t>
        </is>
      </c>
      <c r="B6" s="8" t="inlineStr">
        <is>
          <t>EMAAR PROPERTIES PJSC</t>
        </is>
      </c>
      <c r="C6" s="8" t="inlineStr">
        <is>
          <t>Real Estate</t>
        </is>
      </c>
      <c r="D6" s="8" t="inlineStr">
        <is>
          <t>Real Estate Development</t>
        </is>
      </c>
      <c r="E6" s="8" t="inlineStr">
        <is>
          <t>United Arab Emirates</t>
        </is>
      </c>
      <c r="F6" s="8" t="inlineStr">
        <is>
          <t>N/A</t>
        </is>
      </c>
      <c r="G6" s="9" t="n">
        <v>12.1964</v>
      </c>
      <c r="H6" s="8" t="inlineStr">
        <is>
          <t>AED</t>
        </is>
      </c>
    </row>
    <row r="7">
      <c r="A7" s="11" t="inlineStr">
        <is>
          <t>EMIRATESN</t>
        </is>
      </c>
      <c r="B7" s="11" t="inlineStr">
        <is>
          <t>EMIRATES NBD PJSC</t>
        </is>
      </c>
      <c r="C7" s="11" t="inlineStr">
        <is>
          <t>Financials</t>
        </is>
      </c>
      <c r="D7" s="11" t="inlineStr">
        <is>
          <t>Banks</t>
        </is>
      </c>
      <c r="E7" s="11" t="inlineStr">
        <is>
          <t>United Arab Emirates</t>
        </is>
      </c>
      <c r="F7" s="11" t="inlineStr">
        <is>
          <t>N/A</t>
        </is>
      </c>
      <c r="G7" s="12" t="n">
        <v>29.065</v>
      </c>
      <c r="H7" s="11" t="inlineStr">
        <is>
          <t>AED</t>
        </is>
      </c>
    </row>
    <row r="8">
      <c r="A8" s="8" t="inlineStr">
        <is>
          <t>FPS</t>
        </is>
      </c>
      <c r="B8" s="8" t="inlineStr">
        <is>
          <t>FORGENT POWER SOLUTIONS-CL A</t>
        </is>
      </c>
      <c r="C8" s="8" t="inlineStr">
        <is>
          <t>Industrials</t>
        </is>
      </c>
      <c r="D8" s="8" t="inlineStr">
        <is>
          <t>Electrical Equipment</t>
        </is>
      </c>
      <c r="E8" s="8" t="inlineStr">
        <is>
          <t>United States</t>
        </is>
      </c>
      <c r="F8" s="8" t="inlineStr">
        <is>
          <t>N/A</t>
        </is>
      </c>
      <c r="G8" s="9" t="n">
        <v>58.01024286</v>
      </c>
      <c r="H8" s="8" t="inlineStr">
        <is>
          <t>USD</t>
        </is>
      </c>
    </row>
    <row r="9">
      <c r="A9" s="11" t="inlineStr">
        <is>
          <t>GDXJ</t>
        </is>
      </c>
      <c r="B9" s="11" t="inlineStr">
        <is>
          <t>VANECK JUNIOR GOLD MINERS</t>
        </is>
      </c>
      <c r="C9" s="11" t="inlineStr">
        <is>
          <t>Materials (ETF)</t>
        </is>
      </c>
      <c r="D9" s="11" t="inlineStr">
        <is>
          <t>Junior Gold Mining</t>
        </is>
      </c>
      <c r="E9" s="11" t="inlineStr">
        <is>
          <t>United States</t>
        </is>
      </c>
      <c r="F9" s="11" t="inlineStr">
        <is>
          <t>N/A</t>
        </is>
      </c>
      <c r="G9" s="12" t="n">
        <v>109.16006</v>
      </c>
      <c r="H9" s="11" t="inlineStr">
        <is>
          <t>USD</t>
        </is>
      </c>
    </row>
    <row r="10">
      <c r="A10" s="8" t="inlineStr">
        <is>
          <t>HOOD</t>
        </is>
      </c>
      <c r="B10" s="8" t="inlineStr">
        <is>
          <t>ROBINHOOD MARKETS INC - A</t>
        </is>
      </c>
      <c r="C10" s="8" t="inlineStr">
        <is>
          <t>Financials</t>
        </is>
      </c>
      <c r="D10" s="8" t="inlineStr">
        <is>
          <t>Capital Markets / Brokerage</t>
        </is>
      </c>
      <c r="E10" s="8" t="inlineStr">
        <is>
          <t>United States</t>
        </is>
      </c>
      <c r="F10" s="8" t="inlineStr">
        <is>
          <t>N/A</t>
        </is>
      </c>
      <c r="G10" s="9" t="n">
        <v>104.209</v>
      </c>
      <c r="H10" s="8" t="inlineStr">
        <is>
          <t>USD</t>
        </is>
      </c>
    </row>
    <row r="11">
      <c r="A11" s="11" t="inlineStr">
        <is>
          <t>ONDS</t>
        </is>
      </c>
      <c r="B11" s="11" t="inlineStr">
        <is>
          <t>ONDAS INC</t>
        </is>
      </c>
      <c r="C11" s="11" t="inlineStr">
        <is>
          <t>Information Technology</t>
        </is>
      </c>
      <c r="D11" s="11" t="inlineStr">
        <is>
          <t>Wireless Networking / Drones</t>
        </is>
      </c>
      <c r="E11" s="11" t="inlineStr">
        <is>
          <t>United States</t>
        </is>
      </c>
      <c r="F11" s="11" t="inlineStr">
        <is>
          <t>N/A</t>
        </is>
      </c>
      <c r="G11" s="12" t="n">
        <v>13.84638</v>
      </c>
      <c r="H11" s="11" t="inlineStr">
        <is>
          <t>USD</t>
        </is>
      </c>
    </row>
    <row r="12">
      <c r="A12" s="8" t="inlineStr">
        <is>
          <t>RBRK</t>
        </is>
      </c>
      <c r="B12" s="8" t="inlineStr">
        <is>
          <t>RUBRIK INC-A</t>
        </is>
      </c>
      <c r="C12" s="8" t="inlineStr">
        <is>
          <t>Information Technology</t>
        </is>
      </c>
      <c r="D12" s="8" t="inlineStr">
        <is>
          <t>Software (Data Security)</t>
        </is>
      </c>
      <c r="E12" s="8" t="inlineStr">
        <is>
          <t>United States</t>
        </is>
      </c>
      <c r="F12" s="8" t="inlineStr">
        <is>
          <t>N/A</t>
        </is>
      </c>
      <c r="G12" s="9" t="n">
        <v>76.41704286</v>
      </c>
      <c r="H12" s="8" t="inlineStr">
        <is>
          <t>USD</t>
        </is>
      </c>
    </row>
    <row r="13">
      <c r="A13" s="11" t="inlineStr">
        <is>
          <t>RDDT</t>
        </is>
      </c>
      <c r="B13" s="11" t="inlineStr">
        <is>
          <t>REDDIT INC-CL A</t>
        </is>
      </c>
      <c r="C13" s="11" t="inlineStr">
        <is>
          <t>Communication Services</t>
        </is>
      </c>
      <c r="D13" s="11" t="inlineStr">
        <is>
          <t>Internet Content &amp; Social Media</t>
        </is>
      </c>
      <c r="E13" s="11" t="inlineStr">
        <is>
          <t>United States</t>
        </is>
      </c>
      <c r="F13" s="11" t="inlineStr">
        <is>
          <t>N/A</t>
        </is>
      </c>
      <c r="G13" s="12" t="n">
        <v>188.58695</v>
      </c>
      <c r="H13" s="11" t="inlineStr">
        <is>
          <t>USD</t>
        </is>
      </c>
    </row>
    <row r="14">
      <c r="A14" s="8" t="inlineStr">
        <is>
          <t>SALIK</t>
        </is>
      </c>
      <c r="B14" s="8" t="inlineStr">
        <is>
          <t>SALIK CO PJSC</t>
        </is>
      </c>
      <c r="C14" s="8" t="inlineStr">
        <is>
          <t>Industrials</t>
        </is>
      </c>
      <c r="D14" s="8" t="inlineStr">
        <is>
          <t>Toll Road Operator</t>
        </is>
      </c>
      <c r="E14" s="8" t="inlineStr">
        <is>
          <t>United Arab Emirates</t>
        </is>
      </c>
      <c r="F14" s="8" t="inlineStr">
        <is>
          <t>N/A</t>
        </is>
      </c>
      <c r="G14" s="9" t="n">
        <v>5.535</v>
      </c>
      <c r="H14" s="8" t="inlineStr">
        <is>
          <t>AED</t>
        </is>
      </c>
    </row>
    <row r="15">
      <c r="A15" s="11" t="inlineStr">
        <is>
          <t>SILJ</t>
        </is>
      </c>
      <c r="B15" s="11" t="inlineStr">
        <is>
          <t>AMPLIFY JUNIOR SILVER MINERS</t>
        </is>
      </c>
      <c r="C15" s="11" t="inlineStr">
        <is>
          <t>Materials (ETF)</t>
        </is>
      </c>
      <c r="D15" s="11" t="inlineStr">
        <is>
          <t>Junior Silver Mining</t>
        </is>
      </c>
      <c r="E15" s="11" t="inlineStr">
        <is>
          <t>United States</t>
        </is>
      </c>
      <c r="F15" s="11" t="inlineStr">
        <is>
          <t>N/A</t>
        </is>
      </c>
      <c r="G15" s="12" t="n">
        <v>29.359255</v>
      </c>
      <c r="H15" s="11" t="inlineStr">
        <is>
          <t>USD</t>
        </is>
      </c>
    </row>
    <row r="16">
      <c r="A16" s="8" t="inlineStr">
        <is>
          <t>STM</t>
        </is>
      </c>
      <c r="B16" s="8" t="inlineStr">
        <is>
          <t>STMICROELECTRONICS NV-NY SHS</t>
        </is>
      </c>
      <c r="C16" s="8" t="inlineStr">
        <is>
          <t>Information Technology</t>
        </is>
      </c>
      <c r="D16" s="8" t="inlineStr">
        <is>
          <t>Semiconductors</t>
        </is>
      </c>
      <c r="E16" s="8" t="inlineStr">
        <is>
          <t>Netherlands / Switzerland</t>
        </is>
      </c>
      <c r="F16" s="8" t="inlineStr">
        <is>
          <t>N/A</t>
        </is>
      </c>
      <c r="G16" s="9" t="n">
        <v>74.2207875</v>
      </c>
      <c r="H16" s="8" t="inlineStr">
        <is>
          <t>USD</t>
        </is>
      </c>
    </row>
    <row r="17">
      <c r="A17" s="11" t="inlineStr">
        <is>
          <t>URNM</t>
        </is>
      </c>
      <c r="B17" s="11" t="inlineStr">
        <is>
          <t>SPROTT URANIUM MINERS ETF</t>
        </is>
      </c>
      <c r="C17" s="11" t="inlineStr">
        <is>
          <t>Energy / Materials (ETF)</t>
        </is>
      </c>
      <c r="D17" s="11" t="inlineStr">
        <is>
          <t>Uranium Mining</t>
        </is>
      </c>
      <c r="E17" s="11" t="inlineStr">
        <is>
          <t>Canada (ETF Domicile)</t>
        </is>
      </c>
      <c r="F17" s="11" t="inlineStr">
        <is>
          <t>N/A</t>
        </is>
      </c>
      <c r="G17" s="12" t="n">
        <v>62.7889</v>
      </c>
      <c r="H17" s="11" t="inlineStr">
        <is>
          <t>USD</t>
        </is>
      </c>
    </row>
    <row r="18">
      <c r="A18" s="8" t="inlineStr">
        <is>
          <t>VSH</t>
        </is>
      </c>
      <c r="B18" s="8" t="inlineStr">
        <is>
          <t>VISHAY INTERTECHNOLOGY INC</t>
        </is>
      </c>
      <c r="C18" s="8" t="inlineStr">
        <is>
          <t>Information Technology</t>
        </is>
      </c>
      <c r="D18" s="8" t="inlineStr">
        <is>
          <t>Electronic Components</t>
        </is>
      </c>
      <c r="E18" s="8" t="inlineStr">
        <is>
          <t>United States</t>
        </is>
      </c>
      <c r="F18" s="8" t="inlineStr">
        <is>
          <t>N/A</t>
        </is>
      </c>
      <c r="G18" s="9" t="n">
        <v>57.64759444</v>
      </c>
      <c r="H18" s="8" t="inlineStr">
        <is>
          <t>USD</t>
        </is>
      </c>
    </row>
    <row r="19">
      <c r="A19" s="11" t="inlineStr">
        <is>
          <t>WOLF</t>
        </is>
      </c>
      <c r="B19" s="11" t="inlineStr">
        <is>
          <t>WOLFSPEED INC</t>
        </is>
      </c>
      <c r="C19" s="11" t="inlineStr">
        <is>
          <t>Information Technology</t>
        </is>
      </c>
      <c r="D19" s="11" t="inlineStr">
        <is>
          <t>Semiconductors (SiC Power)</t>
        </is>
      </c>
      <c r="E19" s="11" t="inlineStr">
        <is>
          <t>United States</t>
        </is>
      </c>
      <c r="F19" s="11" t="inlineStr">
        <is>
          <t>N/A</t>
        </is>
      </c>
      <c r="G19" s="12" t="n">
        <v>59.74281</v>
      </c>
      <c r="H19" s="11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262"/>
  <sheetViews>
    <sheetView showGridLines="0"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</cols>
  <sheetData>
    <row r="1" ht="20" customHeight="1">
      <c r="A1" s="7" t="inlineStr">
        <is>
          <t>Date</t>
        </is>
      </c>
      <c r="B1" s="7" t="inlineStr">
        <is>
          <t>ABXXF</t>
        </is>
      </c>
      <c r="C1" s="7" t="inlineStr">
        <is>
          <t>AEHR</t>
        </is>
      </c>
      <c r="D1" s="7" t="inlineStr">
        <is>
          <t>AKAM</t>
        </is>
      </c>
      <c r="E1" s="7" t="inlineStr">
        <is>
          <t>AMZN</t>
        </is>
      </c>
      <c r="F1" s="7" t="inlineStr">
        <is>
          <t>ARGT</t>
        </is>
      </c>
      <c r="G1" s="7" t="inlineStr">
        <is>
          <t>ARKK</t>
        </is>
      </c>
      <c r="H1" s="7" t="inlineStr">
        <is>
          <t>ASTS</t>
        </is>
      </c>
      <c r="I1" s="7" t="inlineStr">
        <is>
          <t>BABA</t>
        </is>
      </c>
      <c r="J1" s="7" t="inlineStr">
        <is>
          <t>BE</t>
        </is>
      </c>
      <c r="K1" s="7" t="inlineStr">
        <is>
          <t>BIDU</t>
        </is>
      </c>
      <c r="L1" s="7" t="inlineStr">
        <is>
          <t>BOIL</t>
        </is>
      </c>
      <c r="M1" s="7" t="inlineStr">
        <is>
          <t>BULL</t>
        </is>
      </c>
      <c r="N1" s="7" t="inlineStr">
        <is>
          <t>CF</t>
        </is>
      </c>
      <c r="O1" s="7" t="inlineStr">
        <is>
          <t>CGNX</t>
        </is>
      </c>
      <c r="P1" s="7" t="inlineStr">
        <is>
          <t>CLSK</t>
        </is>
      </c>
      <c r="Q1" s="7" t="inlineStr">
        <is>
          <t>COHR</t>
        </is>
      </c>
      <c r="R1" s="7" t="inlineStr">
        <is>
          <t>COPX</t>
        </is>
      </c>
      <c r="S1" s="7" t="inlineStr">
        <is>
          <t>CORN</t>
        </is>
      </c>
      <c r="T1" s="7" t="inlineStr">
        <is>
          <t>CPER</t>
        </is>
      </c>
      <c r="U1" s="7" t="inlineStr">
        <is>
          <t>CRM</t>
        </is>
      </c>
      <c r="V1" s="7" t="inlineStr">
        <is>
          <t>CRWV</t>
        </is>
      </c>
      <c r="W1" s="7" t="inlineStr">
        <is>
          <t>DDOG</t>
        </is>
      </c>
      <c r="X1" s="7" t="inlineStr">
        <is>
          <t>DFEN</t>
        </is>
      </c>
      <c r="Y1" s="7" t="inlineStr">
        <is>
          <t>DRAM</t>
        </is>
      </c>
      <c r="Z1" s="7" t="inlineStr">
        <is>
          <t>DTC</t>
        </is>
      </c>
      <c r="AA1" s="7" t="inlineStr">
        <is>
          <t>EMAAR</t>
        </is>
      </c>
      <c r="AB1" s="7" t="inlineStr">
        <is>
          <t>EMIRATESN</t>
        </is>
      </c>
      <c r="AC1" s="7" t="inlineStr">
        <is>
          <t>EWZ</t>
        </is>
      </c>
      <c r="AD1" s="7" t="inlineStr">
        <is>
          <t>FAZ</t>
        </is>
      </c>
      <c r="AE1" s="7" t="inlineStr">
        <is>
          <t>FPS</t>
        </is>
      </c>
      <c r="AF1" s="7" t="inlineStr">
        <is>
          <t>GDX</t>
        </is>
      </c>
      <c r="AG1" s="7" t="inlineStr">
        <is>
          <t>GDXJ</t>
        </is>
      </c>
      <c r="AH1" s="7" t="inlineStr">
        <is>
          <t>GLD</t>
        </is>
      </c>
      <c r="AI1" s="7" t="inlineStr">
        <is>
          <t>GLL</t>
        </is>
      </c>
      <c r="AJ1" s="7" t="inlineStr">
        <is>
          <t>HOOD</t>
        </is>
      </c>
      <c r="AK1" s="7" t="inlineStr">
        <is>
          <t>INR</t>
        </is>
      </c>
      <c r="AL1" s="7" t="inlineStr">
        <is>
          <t>INTC</t>
        </is>
      </c>
      <c r="AM1" s="7" t="inlineStr">
        <is>
          <t>IREN</t>
        </is>
      </c>
      <c r="AN1" s="7" t="inlineStr">
        <is>
          <t>IWM</t>
        </is>
      </c>
      <c r="AO1" s="7" t="inlineStr">
        <is>
          <t>LITE</t>
        </is>
      </c>
      <c r="AP1" s="7" t="inlineStr">
        <is>
          <t>LMT</t>
        </is>
      </c>
      <c r="AQ1" s="7" t="inlineStr">
        <is>
          <t>META</t>
        </is>
      </c>
      <c r="AR1" s="7" t="inlineStr">
        <is>
          <t>MP</t>
        </is>
      </c>
      <c r="AS1" s="7" t="inlineStr">
        <is>
          <t>MRVL</t>
        </is>
      </c>
      <c r="AT1" s="7" t="inlineStr">
        <is>
          <t>MSFT</t>
        </is>
      </c>
      <c r="AU1" s="7" t="inlineStr">
        <is>
          <t>NTR</t>
        </is>
      </c>
      <c r="AV1" s="7" t="inlineStr">
        <is>
          <t>NVTS</t>
        </is>
      </c>
      <c r="AW1" s="7" t="inlineStr">
        <is>
          <t>OKLO</t>
        </is>
      </c>
      <c r="AX1" s="7" t="inlineStr">
        <is>
          <t>ONDS</t>
        </is>
      </c>
      <c r="AY1" s="7" t="inlineStr">
        <is>
          <t>OXY</t>
        </is>
      </c>
      <c r="AZ1" s="7" t="inlineStr">
        <is>
          <t>PALL</t>
        </is>
      </c>
      <c r="BA1" s="7" t="inlineStr">
        <is>
          <t>PPLT</t>
        </is>
      </c>
      <c r="BB1" s="7" t="inlineStr">
        <is>
          <t>RBRK</t>
        </is>
      </c>
      <c r="BC1" s="7" t="inlineStr">
        <is>
          <t>RDDT</t>
        </is>
      </c>
      <c r="BD1" s="7" t="inlineStr">
        <is>
          <t>REMX</t>
        </is>
      </c>
      <c r="BE1" s="7" t="inlineStr">
        <is>
          <t>RKLB</t>
        </is>
      </c>
      <c r="BF1" s="7" t="inlineStr">
        <is>
          <t>RNMBY</t>
        </is>
      </c>
      <c r="BG1" s="7" t="inlineStr">
        <is>
          <t>RTX</t>
        </is>
      </c>
      <c r="BH1" s="7" t="inlineStr">
        <is>
          <t>SALIK</t>
        </is>
      </c>
      <c r="BI1" s="7" t="inlineStr">
        <is>
          <t>SBET</t>
        </is>
      </c>
      <c r="BJ1" s="7" t="inlineStr">
        <is>
          <t>SBIT</t>
        </is>
      </c>
      <c r="BK1" s="7" t="inlineStr">
        <is>
          <t>SEDG</t>
        </is>
      </c>
      <c r="BL1" s="7" t="inlineStr">
        <is>
          <t>SIL</t>
        </is>
      </c>
      <c r="BM1" s="7" t="inlineStr">
        <is>
          <t>SILJ</t>
        </is>
      </c>
      <c r="BN1" s="7" t="inlineStr">
        <is>
          <t>SLV</t>
        </is>
      </c>
      <c r="BO1" s="7" t="inlineStr">
        <is>
          <t>SOUN</t>
        </is>
      </c>
      <c r="BP1" s="7" t="inlineStr">
        <is>
          <t>SOXS</t>
        </is>
      </c>
      <c r="BQ1" s="7" t="inlineStr">
        <is>
          <t>SQQQ</t>
        </is>
      </c>
      <c r="BR1" s="7" t="inlineStr">
        <is>
          <t>STM</t>
        </is>
      </c>
      <c r="BS1" s="7" t="inlineStr">
        <is>
          <t>TLT</t>
        </is>
      </c>
      <c r="BT1" s="7" t="inlineStr">
        <is>
          <t>TSLZ</t>
        </is>
      </c>
      <c r="BU1" s="7" t="inlineStr">
        <is>
          <t>UGL</t>
        </is>
      </c>
      <c r="BV1" s="7" t="inlineStr">
        <is>
          <t>URA</t>
        </is>
      </c>
      <c r="BW1" s="7" t="inlineStr">
        <is>
          <t>URNM</t>
        </is>
      </c>
      <c r="BX1" s="7" t="inlineStr">
        <is>
          <t>USO</t>
        </is>
      </c>
      <c r="BY1" s="7" t="inlineStr">
        <is>
          <t>UVIX</t>
        </is>
      </c>
      <c r="BZ1" s="7" t="inlineStr">
        <is>
          <t>VG</t>
        </is>
      </c>
      <c r="CA1" s="7" t="inlineStr">
        <is>
          <t>VSH</t>
        </is>
      </c>
      <c r="CB1" s="7" t="inlineStr">
        <is>
          <t>WEAT</t>
        </is>
      </c>
      <c r="CC1" s="7" t="inlineStr">
        <is>
          <t>WOLF</t>
        </is>
      </c>
      <c r="CD1" s="7" t="inlineStr">
        <is>
          <t>ZROZ</t>
        </is>
      </c>
      <c r="CE1" s="7" t="inlineStr">
        <is>
          <t>ZSL</t>
        </is>
      </c>
    </row>
    <row r="2">
      <c r="A2" s="14" t="inlineStr">
        <is>
          <t>2025-07-07</t>
        </is>
      </c>
      <c r="B2" s="8" t="n">
        <v>0</v>
      </c>
      <c r="C2" s="8" t="n">
        <v>0</v>
      </c>
      <c r="D2" s="8" t="n">
        <v>0</v>
      </c>
      <c r="E2" s="8" t="n">
        <v>1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10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3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R2" s="8" t="n">
        <v>0</v>
      </c>
      <c r="AS2" s="8" t="n">
        <v>0</v>
      </c>
      <c r="AT2" s="8" t="n">
        <v>0.5</v>
      </c>
      <c r="AU2" s="8" t="n">
        <v>0</v>
      </c>
      <c r="AV2" s="8" t="n">
        <v>0</v>
      </c>
      <c r="AW2" s="8" t="n">
        <v>0</v>
      </c>
      <c r="AX2" s="8" t="n">
        <v>0</v>
      </c>
      <c r="AY2" s="8" t="n">
        <v>0</v>
      </c>
      <c r="AZ2" s="8" t="n">
        <v>0</v>
      </c>
      <c r="BA2" s="8" t="n">
        <v>0</v>
      </c>
      <c r="BB2" s="8" t="n">
        <v>0</v>
      </c>
      <c r="BC2" s="8" t="n">
        <v>0</v>
      </c>
      <c r="BD2" s="8" t="n">
        <v>0</v>
      </c>
      <c r="BE2" s="8" t="n">
        <v>0</v>
      </c>
      <c r="BF2" s="8" t="n">
        <v>0</v>
      </c>
      <c r="BG2" s="8" t="n">
        <v>0</v>
      </c>
      <c r="BH2" s="8" t="n">
        <v>0</v>
      </c>
      <c r="BI2" s="8" t="n">
        <v>0</v>
      </c>
      <c r="BJ2" s="8" t="n">
        <v>0</v>
      </c>
      <c r="BK2" s="8" t="n">
        <v>0</v>
      </c>
      <c r="BL2" s="8" t="n">
        <v>4</v>
      </c>
      <c r="BM2" s="8" t="n">
        <v>0</v>
      </c>
      <c r="BN2" s="8" t="n">
        <v>0</v>
      </c>
      <c r="BO2" s="8" t="n">
        <v>0</v>
      </c>
      <c r="BP2" s="8" t="n">
        <v>0</v>
      </c>
      <c r="BQ2" s="8" t="n">
        <v>0</v>
      </c>
      <c r="BR2" s="8" t="n">
        <v>0</v>
      </c>
      <c r="BS2" s="8" t="n">
        <v>0</v>
      </c>
      <c r="BT2" s="8" t="n">
        <v>0</v>
      </c>
      <c r="BU2" s="8" t="n">
        <v>0</v>
      </c>
      <c r="BV2" s="8" t="n">
        <v>0</v>
      </c>
      <c r="BW2" s="8" t="n">
        <v>0</v>
      </c>
      <c r="BX2" s="8" t="n">
        <v>0</v>
      </c>
      <c r="BY2" s="8" t="n">
        <v>0</v>
      </c>
      <c r="BZ2" s="8" t="n">
        <v>0</v>
      </c>
      <c r="CA2" s="8" t="n">
        <v>0</v>
      </c>
      <c r="CB2" s="8" t="n">
        <v>0</v>
      </c>
      <c r="CC2" s="8" t="n">
        <v>0</v>
      </c>
      <c r="CD2" s="8" t="n">
        <v>0</v>
      </c>
      <c r="CE2" s="8" t="n">
        <v>0</v>
      </c>
    </row>
    <row r="3">
      <c r="A3" s="15" t="inlineStr">
        <is>
          <t>2025-07-08</t>
        </is>
      </c>
      <c r="B3" s="11" t="n">
        <v>0</v>
      </c>
      <c r="C3" s="11" t="n">
        <v>0</v>
      </c>
      <c r="D3" s="11" t="n">
        <v>0</v>
      </c>
      <c r="E3" s="11" t="n">
        <v>1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  <c r="P3" s="11" t="n">
        <v>0</v>
      </c>
      <c r="Q3" s="11" t="n">
        <v>0</v>
      </c>
      <c r="R3" s="11" t="n">
        <v>15</v>
      </c>
      <c r="S3" s="11" t="n">
        <v>0</v>
      </c>
      <c r="T3" s="11" t="n">
        <v>0</v>
      </c>
      <c r="U3" s="11" t="n">
        <v>0</v>
      </c>
      <c r="V3" s="11" t="n">
        <v>0</v>
      </c>
      <c r="W3" s="11" t="n">
        <v>0</v>
      </c>
      <c r="X3" s="11" t="n">
        <v>0</v>
      </c>
      <c r="Y3" s="11" t="n">
        <v>0</v>
      </c>
      <c r="Z3" s="11" t="n">
        <v>0</v>
      </c>
      <c r="AA3" s="11" t="n">
        <v>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8</v>
      </c>
      <c r="AG3" s="11" t="n">
        <v>0</v>
      </c>
      <c r="AH3" s="11" t="n">
        <v>0</v>
      </c>
      <c r="AI3" s="11" t="n">
        <v>0</v>
      </c>
      <c r="AJ3" s="11" t="n">
        <v>0</v>
      </c>
      <c r="AK3" s="11" t="n">
        <v>0</v>
      </c>
      <c r="AL3" s="11" t="n">
        <v>0</v>
      </c>
      <c r="AM3" s="11" t="n">
        <v>0</v>
      </c>
      <c r="AN3" s="11" t="n">
        <v>0</v>
      </c>
      <c r="AO3" s="11" t="n">
        <v>0</v>
      </c>
      <c r="AP3" s="11" t="n">
        <v>0</v>
      </c>
      <c r="AQ3" s="11" t="n">
        <v>0</v>
      </c>
      <c r="AR3" s="11" t="n">
        <v>0</v>
      </c>
      <c r="AS3" s="11" t="n">
        <v>0</v>
      </c>
      <c r="AT3" s="11" t="n">
        <v>0.5</v>
      </c>
      <c r="AU3" s="11" t="n">
        <v>0</v>
      </c>
      <c r="AV3" s="11" t="n">
        <v>0</v>
      </c>
      <c r="AW3" s="11" t="n">
        <v>0</v>
      </c>
      <c r="AX3" s="11" t="n">
        <v>0</v>
      </c>
      <c r="AY3" s="11" t="n">
        <v>0</v>
      </c>
      <c r="AZ3" s="11" t="n">
        <v>0</v>
      </c>
      <c r="BA3" s="11" t="n">
        <v>0</v>
      </c>
      <c r="BB3" s="11" t="n">
        <v>0</v>
      </c>
      <c r="BC3" s="11" t="n">
        <v>0</v>
      </c>
      <c r="BD3" s="11" t="n">
        <v>0</v>
      </c>
      <c r="BE3" s="11" t="n">
        <v>0</v>
      </c>
      <c r="BF3" s="11" t="n">
        <v>0</v>
      </c>
      <c r="BG3" s="11" t="n">
        <v>0</v>
      </c>
      <c r="BH3" s="11" t="n">
        <v>0</v>
      </c>
      <c r="BI3" s="11" t="n">
        <v>3</v>
      </c>
      <c r="BJ3" s="11" t="n">
        <v>0</v>
      </c>
      <c r="BK3" s="11" t="n">
        <v>0</v>
      </c>
      <c r="BL3" s="11" t="n">
        <v>7</v>
      </c>
      <c r="BM3" s="11" t="n">
        <v>0</v>
      </c>
      <c r="BN3" s="11" t="n">
        <v>0</v>
      </c>
      <c r="BO3" s="11" t="n">
        <v>0</v>
      </c>
      <c r="BP3" s="11" t="n">
        <v>0</v>
      </c>
      <c r="BQ3" s="11" t="n">
        <v>0</v>
      </c>
      <c r="BR3" s="11" t="n">
        <v>0</v>
      </c>
      <c r="BS3" s="11" t="n">
        <v>0</v>
      </c>
      <c r="BT3" s="11" t="n">
        <v>0</v>
      </c>
      <c r="BU3" s="11" t="n">
        <v>0</v>
      </c>
      <c r="BV3" s="11" t="n">
        <v>0</v>
      </c>
      <c r="BW3" s="11" t="n">
        <v>0</v>
      </c>
      <c r="BX3" s="11" t="n">
        <v>0</v>
      </c>
      <c r="BY3" s="11" t="n">
        <v>0</v>
      </c>
      <c r="BZ3" s="11" t="n">
        <v>0</v>
      </c>
      <c r="CA3" s="11" t="n">
        <v>0</v>
      </c>
      <c r="CB3" s="11" t="n">
        <v>0</v>
      </c>
      <c r="CC3" s="11" t="n">
        <v>0</v>
      </c>
      <c r="CD3" s="11" t="n">
        <v>0</v>
      </c>
      <c r="CE3" s="11" t="n">
        <v>0</v>
      </c>
    </row>
    <row r="4">
      <c r="A4" s="14" t="inlineStr">
        <is>
          <t>2025-07-09</t>
        </is>
      </c>
      <c r="B4" s="8" t="n">
        <v>0</v>
      </c>
      <c r="C4" s="8" t="n">
        <v>0</v>
      </c>
      <c r="D4" s="8" t="n">
        <v>0</v>
      </c>
      <c r="E4" s="8" t="n">
        <v>1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15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8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R4" s="8" t="n">
        <v>0</v>
      </c>
      <c r="AS4" s="8" t="n">
        <v>0</v>
      </c>
      <c r="AT4" s="8" t="n">
        <v>0.5</v>
      </c>
      <c r="AU4" s="8" t="n">
        <v>0</v>
      </c>
      <c r="AV4" s="8" t="n">
        <v>0</v>
      </c>
      <c r="AW4" s="8" t="n">
        <v>0</v>
      </c>
      <c r="AX4" s="8" t="n">
        <v>0</v>
      </c>
      <c r="AY4" s="8" t="n">
        <v>0</v>
      </c>
      <c r="AZ4" s="8" t="n">
        <v>0</v>
      </c>
      <c r="BA4" s="8" t="n">
        <v>0</v>
      </c>
      <c r="BB4" s="8" t="n">
        <v>0</v>
      </c>
      <c r="BC4" s="8" t="n">
        <v>0</v>
      </c>
      <c r="BD4" s="8" t="n">
        <v>0</v>
      </c>
      <c r="BE4" s="8" t="n">
        <v>0</v>
      </c>
      <c r="BF4" s="8" t="n">
        <v>0</v>
      </c>
      <c r="BG4" s="8" t="n">
        <v>0</v>
      </c>
      <c r="BH4" s="8" t="n">
        <v>0</v>
      </c>
      <c r="BI4" s="8" t="n">
        <v>3</v>
      </c>
      <c r="BJ4" s="8" t="n">
        <v>0</v>
      </c>
      <c r="BK4" s="8" t="n">
        <v>0</v>
      </c>
      <c r="BL4" s="8" t="n">
        <v>7</v>
      </c>
      <c r="BM4" s="8" t="n">
        <v>0</v>
      </c>
      <c r="BN4" s="8" t="n">
        <v>0</v>
      </c>
      <c r="BO4" s="8" t="n">
        <v>0</v>
      </c>
      <c r="BP4" s="8" t="n">
        <v>0</v>
      </c>
      <c r="BQ4" s="8" t="n">
        <v>0</v>
      </c>
      <c r="BR4" s="8" t="n">
        <v>0</v>
      </c>
      <c r="BS4" s="8" t="n">
        <v>0</v>
      </c>
      <c r="BT4" s="8" t="n">
        <v>0</v>
      </c>
      <c r="BU4" s="8" t="n">
        <v>0</v>
      </c>
      <c r="BV4" s="8" t="n">
        <v>0</v>
      </c>
      <c r="BW4" s="8" t="n">
        <v>0</v>
      </c>
      <c r="BX4" s="8" t="n">
        <v>0</v>
      </c>
      <c r="BY4" s="8" t="n">
        <v>0</v>
      </c>
      <c r="BZ4" s="8" t="n">
        <v>0</v>
      </c>
      <c r="CA4" s="8" t="n">
        <v>0</v>
      </c>
      <c r="CB4" s="8" t="n">
        <v>0</v>
      </c>
      <c r="CC4" s="8" t="n">
        <v>0</v>
      </c>
      <c r="CD4" s="8" t="n">
        <v>0</v>
      </c>
      <c r="CE4" s="8" t="n">
        <v>0</v>
      </c>
    </row>
    <row r="5">
      <c r="A5" s="15" t="inlineStr">
        <is>
          <t>2025-07-10</t>
        </is>
      </c>
      <c r="B5" s="11" t="n">
        <v>0</v>
      </c>
      <c r="C5" s="11" t="n">
        <v>0</v>
      </c>
      <c r="D5" s="11" t="n">
        <v>0</v>
      </c>
      <c r="E5" s="11" t="n">
        <v>1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15</v>
      </c>
      <c r="S5" s="11" t="n">
        <v>0</v>
      </c>
      <c r="T5" s="11" t="n">
        <v>0</v>
      </c>
      <c r="U5" s="11" t="n">
        <v>0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8</v>
      </c>
      <c r="AG5" s="11" t="n">
        <v>0</v>
      </c>
      <c r="AH5" s="11" t="n">
        <v>0</v>
      </c>
      <c r="AI5" s="11" t="n">
        <v>0</v>
      </c>
      <c r="AJ5" s="11" t="n">
        <v>0</v>
      </c>
      <c r="AK5" s="11" t="n">
        <v>0</v>
      </c>
      <c r="AL5" s="11" t="n">
        <v>0</v>
      </c>
      <c r="AM5" s="11" t="n">
        <v>0</v>
      </c>
      <c r="AN5" s="11" t="n">
        <v>0</v>
      </c>
      <c r="AO5" s="11" t="n">
        <v>0</v>
      </c>
      <c r="AP5" s="11" t="n">
        <v>0</v>
      </c>
      <c r="AQ5" s="11" t="n">
        <v>0</v>
      </c>
      <c r="AR5" s="11" t="n">
        <v>0</v>
      </c>
      <c r="AS5" s="11" t="n">
        <v>0</v>
      </c>
      <c r="AT5" s="11" t="n">
        <v>0.5</v>
      </c>
      <c r="AU5" s="11" t="n">
        <v>0</v>
      </c>
      <c r="AV5" s="11" t="n">
        <v>0</v>
      </c>
      <c r="AW5" s="11" t="n">
        <v>0</v>
      </c>
      <c r="AX5" s="11" t="n">
        <v>0</v>
      </c>
      <c r="AY5" s="11" t="n">
        <v>0</v>
      </c>
      <c r="AZ5" s="11" t="n">
        <v>0</v>
      </c>
      <c r="BA5" s="11" t="n">
        <v>0</v>
      </c>
      <c r="BB5" s="11" t="n">
        <v>0</v>
      </c>
      <c r="BC5" s="11" t="n">
        <v>0</v>
      </c>
      <c r="BD5" s="11" t="n">
        <v>0</v>
      </c>
      <c r="BE5" s="11" t="n">
        <v>0</v>
      </c>
      <c r="BF5" s="11" t="n">
        <v>0</v>
      </c>
      <c r="BG5" s="11" t="n">
        <v>0</v>
      </c>
      <c r="BH5" s="11" t="n">
        <v>0</v>
      </c>
      <c r="BI5" s="11" t="n">
        <v>3</v>
      </c>
      <c r="BJ5" s="11" t="n">
        <v>0</v>
      </c>
      <c r="BK5" s="11" t="n">
        <v>0</v>
      </c>
      <c r="BL5" s="11" t="n">
        <v>7</v>
      </c>
      <c r="BM5" s="11" t="n">
        <v>0</v>
      </c>
      <c r="BN5" s="11" t="n">
        <v>0</v>
      </c>
      <c r="BO5" s="11" t="n">
        <v>0</v>
      </c>
      <c r="BP5" s="11" t="n">
        <v>0</v>
      </c>
      <c r="BQ5" s="11" t="n">
        <v>0</v>
      </c>
      <c r="BR5" s="11" t="n">
        <v>0</v>
      </c>
      <c r="BS5" s="11" t="n">
        <v>0</v>
      </c>
      <c r="BT5" s="11" t="n">
        <v>0</v>
      </c>
      <c r="BU5" s="11" t="n">
        <v>0</v>
      </c>
      <c r="BV5" s="11" t="n">
        <v>0</v>
      </c>
      <c r="BW5" s="11" t="n">
        <v>0</v>
      </c>
      <c r="BX5" s="11" t="n">
        <v>0</v>
      </c>
      <c r="BY5" s="11" t="n">
        <v>0</v>
      </c>
      <c r="BZ5" s="11" t="n">
        <v>0</v>
      </c>
      <c r="CA5" s="11" t="n">
        <v>0</v>
      </c>
      <c r="CB5" s="11" t="n">
        <v>0</v>
      </c>
      <c r="CC5" s="11" t="n">
        <v>0</v>
      </c>
      <c r="CD5" s="11" t="n">
        <v>0</v>
      </c>
      <c r="CE5" s="11" t="n">
        <v>0</v>
      </c>
    </row>
    <row r="6">
      <c r="A6" s="14" t="inlineStr">
        <is>
          <t>2025-07-11</t>
        </is>
      </c>
      <c r="B6" s="8" t="n">
        <v>0</v>
      </c>
      <c r="C6" s="8" t="n">
        <v>0</v>
      </c>
      <c r="D6" s="8" t="n">
        <v>0</v>
      </c>
      <c r="E6" s="8" t="n">
        <v>1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15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8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R6" s="8" t="n">
        <v>0</v>
      </c>
      <c r="AS6" s="8" t="n">
        <v>0</v>
      </c>
      <c r="AT6" s="8" t="n">
        <v>0.5</v>
      </c>
      <c r="AU6" s="8" t="n">
        <v>0</v>
      </c>
      <c r="AV6" s="8" t="n">
        <v>0</v>
      </c>
      <c r="AW6" s="8" t="n">
        <v>0</v>
      </c>
      <c r="AX6" s="8" t="n">
        <v>0</v>
      </c>
      <c r="AY6" s="8" t="n">
        <v>0</v>
      </c>
      <c r="AZ6" s="8" t="n">
        <v>0</v>
      </c>
      <c r="BA6" s="8" t="n">
        <v>0</v>
      </c>
      <c r="BB6" s="8" t="n">
        <v>0</v>
      </c>
      <c r="BC6" s="8" t="n">
        <v>0</v>
      </c>
      <c r="BD6" s="8" t="n">
        <v>0</v>
      </c>
      <c r="BE6" s="8" t="n">
        <v>0</v>
      </c>
      <c r="BF6" s="8" t="n">
        <v>0</v>
      </c>
      <c r="BG6" s="8" t="n">
        <v>0</v>
      </c>
      <c r="BH6" s="8" t="n">
        <v>0</v>
      </c>
      <c r="BI6" s="8" t="n">
        <v>0</v>
      </c>
      <c r="BJ6" s="8" t="n">
        <v>0</v>
      </c>
      <c r="BK6" s="8" t="n">
        <v>0</v>
      </c>
      <c r="BL6" s="8" t="n">
        <v>7</v>
      </c>
      <c r="BM6" s="8" t="n">
        <v>0</v>
      </c>
      <c r="BN6" s="8" t="n">
        <v>0</v>
      </c>
      <c r="BO6" s="8" t="n">
        <v>0</v>
      </c>
      <c r="BP6" s="8" t="n">
        <v>0</v>
      </c>
      <c r="BQ6" s="8" t="n">
        <v>0</v>
      </c>
      <c r="BR6" s="8" t="n">
        <v>0</v>
      </c>
      <c r="BS6" s="8" t="n">
        <v>0</v>
      </c>
      <c r="BT6" s="8" t="n">
        <v>0</v>
      </c>
      <c r="BU6" s="8" t="n">
        <v>0</v>
      </c>
      <c r="BV6" s="8" t="n">
        <v>0</v>
      </c>
      <c r="BW6" s="8" t="n">
        <v>0</v>
      </c>
      <c r="BX6" s="8" t="n">
        <v>0</v>
      </c>
      <c r="BY6" s="8" t="n">
        <v>0</v>
      </c>
      <c r="BZ6" s="8" t="n">
        <v>0</v>
      </c>
      <c r="CA6" s="8" t="n">
        <v>0</v>
      </c>
      <c r="CB6" s="8" t="n">
        <v>0</v>
      </c>
      <c r="CC6" s="8" t="n">
        <v>0</v>
      </c>
      <c r="CD6" s="8" t="n">
        <v>0</v>
      </c>
      <c r="CE6" s="8" t="n">
        <v>0</v>
      </c>
    </row>
    <row r="7">
      <c r="A7" s="15" t="inlineStr">
        <is>
          <t>2025-07-14</t>
        </is>
      </c>
      <c r="B7" s="11" t="n">
        <v>0</v>
      </c>
      <c r="C7" s="11" t="n">
        <v>0</v>
      </c>
      <c r="D7" s="11" t="n">
        <v>0</v>
      </c>
      <c r="E7" s="11" t="n">
        <v>1</v>
      </c>
      <c r="F7" s="11" t="n">
        <v>3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  <c r="P7" s="11" t="n">
        <v>6</v>
      </c>
      <c r="Q7" s="11" t="n">
        <v>0</v>
      </c>
      <c r="R7" s="11" t="n">
        <v>15</v>
      </c>
      <c r="S7" s="11" t="n">
        <v>0</v>
      </c>
      <c r="T7" s="11" t="n">
        <v>0</v>
      </c>
      <c r="U7" s="11" t="n">
        <v>0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>
        <v>8</v>
      </c>
      <c r="AG7" s="11" t="n">
        <v>0</v>
      </c>
      <c r="AH7" s="11" t="n">
        <v>0</v>
      </c>
      <c r="AI7" s="11" t="n">
        <v>0</v>
      </c>
      <c r="AJ7" s="11" t="n">
        <v>0</v>
      </c>
      <c r="AK7" s="11" t="n">
        <v>0</v>
      </c>
      <c r="AL7" s="11" t="n">
        <v>0</v>
      </c>
      <c r="AM7" s="11" t="n">
        <v>7</v>
      </c>
      <c r="AN7" s="11" t="n">
        <v>0</v>
      </c>
      <c r="AO7" s="11" t="n">
        <v>0</v>
      </c>
      <c r="AP7" s="11" t="n">
        <v>0</v>
      </c>
      <c r="AQ7" s="11" t="n">
        <v>0</v>
      </c>
      <c r="AR7" s="11" t="n">
        <v>0</v>
      </c>
      <c r="AS7" s="11" t="n">
        <v>0</v>
      </c>
      <c r="AT7" s="11" t="n">
        <v>0.5</v>
      </c>
      <c r="AU7" s="11" t="n">
        <v>0</v>
      </c>
      <c r="AV7" s="11" t="n">
        <v>0</v>
      </c>
      <c r="AW7" s="11" t="n">
        <v>2</v>
      </c>
      <c r="AX7" s="11" t="n">
        <v>0</v>
      </c>
      <c r="AY7" s="11" t="n">
        <v>0</v>
      </c>
      <c r="AZ7" s="11" t="n">
        <v>0</v>
      </c>
      <c r="BA7" s="11" t="n">
        <v>0</v>
      </c>
      <c r="BB7" s="11" t="n">
        <v>0</v>
      </c>
      <c r="BC7" s="11" t="n">
        <v>0</v>
      </c>
      <c r="BD7" s="11" t="n">
        <v>0</v>
      </c>
      <c r="BE7" s="11" t="n">
        <v>0</v>
      </c>
      <c r="BF7" s="11" t="n">
        <v>0</v>
      </c>
      <c r="BG7" s="11" t="n">
        <v>0</v>
      </c>
      <c r="BH7" s="11" t="n">
        <v>0</v>
      </c>
      <c r="BI7" s="11" t="n">
        <v>0</v>
      </c>
      <c r="BJ7" s="11" t="n">
        <v>0</v>
      </c>
      <c r="BK7" s="11" t="n">
        <v>0</v>
      </c>
      <c r="BL7" s="11" t="n">
        <v>7</v>
      </c>
      <c r="BM7" s="11" t="n">
        <v>0</v>
      </c>
      <c r="BN7" s="11" t="n">
        <v>0</v>
      </c>
      <c r="BO7" s="11" t="n">
        <v>0</v>
      </c>
      <c r="BP7" s="11" t="n">
        <v>0</v>
      </c>
      <c r="BQ7" s="11" t="n">
        <v>0</v>
      </c>
      <c r="BR7" s="11" t="n">
        <v>0</v>
      </c>
      <c r="BS7" s="11" t="n">
        <v>0</v>
      </c>
      <c r="BT7" s="11" t="n">
        <v>0</v>
      </c>
      <c r="BU7" s="11" t="n">
        <v>0</v>
      </c>
      <c r="BV7" s="11" t="n">
        <v>0</v>
      </c>
      <c r="BW7" s="11" t="n">
        <v>0</v>
      </c>
      <c r="BX7" s="11" t="n">
        <v>0</v>
      </c>
      <c r="BY7" s="11" t="n">
        <v>0</v>
      </c>
      <c r="BZ7" s="11" t="n">
        <v>0</v>
      </c>
      <c r="CA7" s="11" t="n">
        <v>0</v>
      </c>
      <c r="CB7" s="11" t="n">
        <v>0</v>
      </c>
      <c r="CC7" s="11" t="n">
        <v>0</v>
      </c>
      <c r="CD7" s="11" t="n">
        <v>0</v>
      </c>
      <c r="CE7" s="11" t="n">
        <v>0</v>
      </c>
    </row>
    <row r="8">
      <c r="A8" s="14" t="inlineStr">
        <is>
          <t>2025-07-15</t>
        </is>
      </c>
      <c r="B8" s="8" t="n">
        <v>0</v>
      </c>
      <c r="C8" s="8" t="n">
        <v>0</v>
      </c>
      <c r="D8" s="8" t="n">
        <v>0</v>
      </c>
      <c r="E8" s="8" t="n">
        <v>1</v>
      </c>
      <c r="F8" s="8" t="n">
        <v>3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6</v>
      </c>
      <c r="Q8" s="8" t="n">
        <v>0</v>
      </c>
      <c r="R8" s="8" t="n">
        <v>15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8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7</v>
      </c>
      <c r="AN8" s="8" t="n">
        <v>0</v>
      </c>
      <c r="AO8" s="8" t="n">
        <v>0</v>
      </c>
      <c r="AP8" s="8" t="n">
        <v>0</v>
      </c>
      <c r="AQ8" s="8" t="n">
        <v>0</v>
      </c>
      <c r="AR8" s="8" t="n">
        <v>0</v>
      </c>
      <c r="AS8" s="8" t="n">
        <v>0</v>
      </c>
      <c r="AT8" s="8" t="n">
        <v>0.5</v>
      </c>
      <c r="AU8" s="8" t="n">
        <v>0</v>
      </c>
      <c r="AV8" s="8" t="n">
        <v>0</v>
      </c>
      <c r="AW8" s="8" t="n">
        <v>2</v>
      </c>
      <c r="AX8" s="8" t="n">
        <v>0</v>
      </c>
      <c r="AY8" s="8" t="n">
        <v>0</v>
      </c>
      <c r="AZ8" s="8" t="n">
        <v>0</v>
      </c>
      <c r="BA8" s="8" t="n">
        <v>0</v>
      </c>
      <c r="BB8" s="8" t="n">
        <v>0</v>
      </c>
      <c r="BC8" s="8" t="n">
        <v>0</v>
      </c>
      <c r="BD8" s="8" t="n">
        <v>0</v>
      </c>
      <c r="BE8" s="8" t="n">
        <v>0</v>
      </c>
      <c r="BF8" s="8" t="n">
        <v>0</v>
      </c>
      <c r="BG8" s="8" t="n">
        <v>0</v>
      </c>
      <c r="BH8" s="8" t="n">
        <v>0</v>
      </c>
      <c r="BI8" s="8" t="n">
        <v>0</v>
      </c>
      <c r="BJ8" s="8" t="n">
        <v>0</v>
      </c>
      <c r="BK8" s="8" t="n">
        <v>0</v>
      </c>
      <c r="BL8" s="8" t="n">
        <v>7</v>
      </c>
      <c r="BM8" s="8" t="n">
        <v>0</v>
      </c>
      <c r="BN8" s="8" t="n">
        <v>0</v>
      </c>
      <c r="BO8" s="8" t="n">
        <v>0</v>
      </c>
      <c r="BP8" s="8" t="n">
        <v>0</v>
      </c>
      <c r="BQ8" s="8" t="n">
        <v>0</v>
      </c>
      <c r="BR8" s="8" t="n">
        <v>0</v>
      </c>
      <c r="BS8" s="8" t="n">
        <v>0</v>
      </c>
      <c r="BT8" s="8" t="n">
        <v>0</v>
      </c>
      <c r="BU8" s="8" t="n">
        <v>0</v>
      </c>
      <c r="BV8" s="8" t="n">
        <v>0</v>
      </c>
      <c r="BW8" s="8" t="n">
        <v>0</v>
      </c>
      <c r="BX8" s="8" t="n">
        <v>0</v>
      </c>
      <c r="BY8" s="8" t="n">
        <v>0</v>
      </c>
      <c r="BZ8" s="8" t="n">
        <v>0</v>
      </c>
      <c r="CA8" s="8" t="n">
        <v>0</v>
      </c>
      <c r="CB8" s="8" t="n">
        <v>0</v>
      </c>
      <c r="CC8" s="8" t="n">
        <v>0</v>
      </c>
      <c r="CD8" s="8" t="n">
        <v>0</v>
      </c>
      <c r="CE8" s="8" t="n">
        <v>0</v>
      </c>
    </row>
    <row r="9">
      <c r="A9" s="15" t="inlineStr">
        <is>
          <t>2025-07-16</t>
        </is>
      </c>
      <c r="B9" s="11" t="n">
        <v>0</v>
      </c>
      <c r="C9" s="11" t="n">
        <v>0</v>
      </c>
      <c r="D9" s="11" t="n">
        <v>0</v>
      </c>
      <c r="E9" s="11" t="n">
        <v>1</v>
      </c>
      <c r="F9" s="11" t="n">
        <v>3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6</v>
      </c>
      <c r="Q9" s="11" t="n">
        <v>0</v>
      </c>
      <c r="R9" s="11" t="n">
        <v>15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8</v>
      </c>
      <c r="AG9" s="11" t="n">
        <v>0</v>
      </c>
      <c r="AH9" s="11" t="n">
        <v>0</v>
      </c>
      <c r="AI9" s="11" t="n">
        <v>0</v>
      </c>
      <c r="AJ9" s="11" t="n">
        <v>0</v>
      </c>
      <c r="AK9" s="11" t="n">
        <v>0</v>
      </c>
      <c r="AL9" s="11" t="n">
        <v>0</v>
      </c>
      <c r="AM9" s="11" t="n">
        <v>7</v>
      </c>
      <c r="AN9" s="11" t="n">
        <v>0</v>
      </c>
      <c r="AO9" s="11" t="n">
        <v>0</v>
      </c>
      <c r="AP9" s="11" t="n">
        <v>0</v>
      </c>
      <c r="AQ9" s="11" t="n">
        <v>0</v>
      </c>
      <c r="AR9" s="11" t="n">
        <v>0</v>
      </c>
      <c r="AS9" s="11" t="n">
        <v>0</v>
      </c>
      <c r="AT9" s="11" t="n">
        <v>0.5</v>
      </c>
      <c r="AU9" s="11" t="n">
        <v>0</v>
      </c>
      <c r="AV9" s="11" t="n">
        <v>0</v>
      </c>
      <c r="AW9" s="11" t="n">
        <v>2</v>
      </c>
      <c r="AX9" s="11" t="n">
        <v>0</v>
      </c>
      <c r="AY9" s="11" t="n">
        <v>0</v>
      </c>
      <c r="AZ9" s="11" t="n">
        <v>0</v>
      </c>
      <c r="BA9" s="11" t="n">
        <v>0</v>
      </c>
      <c r="BB9" s="11" t="n">
        <v>0</v>
      </c>
      <c r="BC9" s="11" t="n">
        <v>0</v>
      </c>
      <c r="BD9" s="11" t="n">
        <v>0</v>
      </c>
      <c r="BE9" s="11" t="n">
        <v>0</v>
      </c>
      <c r="BF9" s="11" t="n">
        <v>0</v>
      </c>
      <c r="BG9" s="11" t="n">
        <v>0</v>
      </c>
      <c r="BH9" s="11" t="n">
        <v>0</v>
      </c>
      <c r="BI9" s="11" t="n">
        <v>0</v>
      </c>
      <c r="BJ9" s="11" t="n">
        <v>0</v>
      </c>
      <c r="BK9" s="11" t="n">
        <v>0</v>
      </c>
      <c r="BL9" s="11" t="n">
        <v>11</v>
      </c>
      <c r="BM9" s="11" t="n">
        <v>0</v>
      </c>
      <c r="BN9" s="11" t="n">
        <v>0</v>
      </c>
      <c r="BO9" s="11" t="n">
        <v>0</v>
      </c>
      <c r="BP9" s="11" t="n">
        <v>0</v>
      </c>
      <c r="BQ9" s="11" t="n">
        <v>0</v>
      </c>
      <c r="BR9" s="11" t="n">
        <v>0</v>
      </c>
      <c r="BS9" s="11" t="n">
        <v>0</v>
      </c>
      <c r="BT9" s="11" t="n">
        <v>0</v>
      </c>
      <c r="BU9" s="11" t="n">
        <v>0</v>
      </c>
      <c r="BV9" s="11" t="n">
        <v>0</v>
      </c>
      <c r="BW9" s="11" t="n">
        <v>0</v>
      </c>
      <c r="BX9" s="11" t="n">
        <v>0</v>
      </c>
      <c r="BY9" s="11" t="n">
        <v>0</v>
      </c>
      <c r="BZ9" s="11" t="n">
        <v>0</v>
      </c>
      <c r="CA9" s="11" t="n">
        <v>0</v>
      </c>
      <c r="CB9" s="11" t="n">
        <v>0</v>
      </c>
      <c r="CC9" s="11" t="n">
        <v>0</v>
      </c>
      <c r="CD9" s="11" t="n">
        <v>0</v>
      </c>
      <c r="CE9" s="11" t="n">
        <v>0</v>
      </c>
    </row>
    <row r="10">
      <c r="A10" s="14" t="inlineStr">
        <is>
          <t>2025-07-17</t>
        </is>
      </c>
      <c r="B10" s="8" t="n">
        <v>0</v>
      </c>
      <c r="C10" s="8" t="n">
        <v>0</v>
      </c>
      <c r="D10" s="8" t="n">
        <v>0</v>
      </c>
      <c r="E10" s="8" t="n">
        <v>1</v>
      </c>
      <c r="F10" s="8" t="n">
        <v>3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6</v>
      </c>
      <c r="Q10" s="8" t="n">
        <v>0</v>
      </c>
      <c r="R10" s="8" t="n">
        <v>15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8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7</v>
      </c>
      <c r="AN10" s="8" t="n">
        <v>0</v>
      </c>
      <c r="AO10" s="8" t="n">
        <v>0</v>
      </c>
      <c r="AP10" s="8" t="n">
        <v>0</v>
      </c>
      <c r="AQ10" s="8" t="n">
        <v>0</v>
      </c>
      <c r="AR10" s="8" t="n">
        <v>0</v>
      </c>
      <c r="AS10" s="8" t="n">
        <v>0</v>
      </c>
      <c r="AT10" s="8" t="n">
        <v>0.5</v>
      </c>
      <c r="AU10" s="8" t="n">
        <v>0</v>
      </c>
      <c r="AV10" s="8" t="n">
        <v>0</v>
      </c>
      <c r="AW10" s="8" t="n">
        <v>2</v>
      </c>
      <c r="AX10" s="8" t="n">
        <v>0</v>
      </c>
      <c r="AY10" s="8" t="n">
        <v>0</v>
      </c>
      <c r="AZ10" s="8" t="n">
        <v>0</v>
      </c>
      <c r="BA10" s="8" t="n">
        <v>0</v>
      </c>
      <c r="BB10" s="8" t="n">
        <v>0</v>
      </c>
      <c r="BC10" s="8" t="n">
        <v>0</v>
      </c>
      <c r="BD10" s="8" t="n">
        <v>0</v>
      </c>
      <c r="BE10" s="8" t="n">
        <v>0</v>
      </c>
      <c r="BF10" s="8" t="n">
        <v>0</v>
      </c>
      <c r="BG10" s="8" t="n">
        <v>0</v>
      </c>
      <c r="BH10" s="8" t="n">
        <v>0</v>
      </c>
      <c r="BI10" s="8" t="n">
        <v>0</v>
      </c>
      <c r="BJ10" s="8" t="n">
        <v>0</v>
      </c>
      <c r="BK10" s="8" t="n">
        <v>0</v>
      </c>
      <c r="BL10" s="8" t="n">
        <v>11</v>
      </c>
      <c r="BM10" s="8" t="n">
        <v>0</v>
      </c>
      <c r="BN10" s="8" t="n">
        <v>0</v>
      </c>
      <c r="BO10" s="8" t="n">
        <v>0</v>
      </c>
      <c r="BP10" s="8" t="n">
        <v>0</v>
      </c>
      <c r="BQ10" s="8" t="n">
        <v>0</v>
      </c>
      <c r="BR10" s="8" t="n">
        <v>0</v>
      </c>
      <c r="BS10" s="8" t="n">
        <v>0</v>
      </c>
      <c r="BT10" s="8" t="n">
        <v>0</v>
      </c>
      <c r="BU10" s="8" t="n">
        <v>0</v>
      </c>
      <c r="BV10" s="8" t="n">
        <v>0</v>
      </c>
      <c r="BW10" s="8" t="n">
        <v>0</v>
      </c>
      <c r="BX10" s="8" t="n">
        <v>0</v>
      </c>
      <c r="BY10" s="8" t="n">
        <v>0</v>
      </c>
      <c r="BZ10" s="8" t="n">
        <v>0</v>
      </c>
      <c r="CA10" s="8" t="n">
        <v>0</v>
      </c>
      <c r="CB10" s="8" t="n">
        <v>0</v>
      </c>
      <c r="CC10" s="8" t="n">
        <v>0</v>
      </c>
      <c r="CD10" s="8" t="n">
        <v>0</v>
      </c>
      <c r="CE10" s="8" t="n">
        <v>0</v>
      </c>
    </row>
    <row r="11">
      <c r="A11" s="15" t="inlineStr">
        <is>
          <t>2025-07-18</t>
        </is>
      </c>
      <c r="B11" s="11" t="n">
        <v>0</v>
      </c>
      <c r="C11" s="11" t="n">
        <v>0</v>
      </c>
      <c r="D11" s="11" t="n">
        <v>0</v>
      </c>
      <c r="E11" s="11" t="n">
        <v>1</v>
      </c>
      <c r="F11" s="11" t="n">
        <v>3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6</v>
      </c>
      <c r="Q11" s="11" t="n">
        <v>0</v>
      </c>
      <c r="R11" s="11" t="n">
        <v>15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8</v>
      </c>
      <c r="AG11" s="11" t="n">
        <v>0</v>
      </c>
      <c r="AH11" s="11" t="n">
        <v>0</v>
      </c>
      <c r="AI11" s="11" t="n">
        <v>0</v>
      </c>
      <c r="AJ11" s="11" t="n">
        <v>0</v>
      </c>
      <c r="AK11" s="11" t="n">
        <v>0</v>
      </c>
      <c r="AL11" s="11" t="n">
        <v>0</v>
      </c>
      <c r="AM11" s="11" t="n">
        <v>7</v>
      </c>
      <c r="AN11" s="11" t="n">
        <v>0</v>
      </c>
      <c r="AO11" s="11" t="n">
        <v>0</v>
      </c>
      <c r="AP11" s="11" t="n">
        <v>0</v>
      </c>
      <c r="AQ11" s="11" t="n">
        <v>0</v>
      </c>
      <c r="AR11" s="11" t="n">
        <v>0</v>
      </c>
      <c r="AS11" s="11" t="n">
        <v>0</v>
      </c>
      <c r="AT11" s="11" t="n">
        <v>0.5</v>
      </c>
      <c r="AU11" s="11" t="n">
        <v>0</v>
      </c>
      <c r="AV11" s="11" t="n">
        <v>0</v>
      </c>
      <c r="AW11" s="11" t="n">
        <v>2</v>
      </c>
      <c r="AX11" s="11" t="n">
        <v>0</v>
      </c>
      <c r="AY11" s="11" t="n">
        <v>0</v>
      </c>
      <c r="AZ11" s="11" t="n">
        <v>0</v>
      </c>
      <c r="BA11" s="11" t="n">
        <v>0</v>
      </c>
      <c r="BB11" s="11" t="n">
        <v>0</v>
      </c>
      <c r="BC11" s="11" t="n">
        <v>0</v>
      </c>
      <c r="BD11" s="11" t="n">
        <v>0</v>
      </c>
      <c r="BE11" s="11" t="n">
        <v>0</v>
      </c>
      <c r="BF11" s="11" t="n">
        <v>0</v>
      </c>
      <c r="BG11" s="11" t="n">
        <v>0</v>
      </c>
      <c r="BH11" s="11" t="n">
        <v>0</v>
      </c>
      <c r="BI11" s="11" t="n">
        <v>0</v>
      </c>
      <c r="BJ11" s="11" t="n">
        <v>0</v>
      </c>
      <c r="BK11" s="11" t="n">
        <v>0</v>
      </c>
      <c r="BL11" s="11" t="n">
        <v>11</v>
      </c>
      <c r="BM11" s="11" t="n">
        <v>0</v>
      </c>
      <c r="BN11" s="11" t="n">
        <v>0</v>
      </c>
      <c r="BO11" s="11" t="n">
        <v>0</v>
      </c>
      <c r="BP11" s="11" t="n">
        <v>0</v>
      </c>
      <c r="BQ11" s="11" t="n">
        <v>0</v>
      </c>
      <c r="BR11" s="11" t="n">
        <v>0</v>
      </c>
      <c r="BS11" s="11" t="n">
        <v>0</v>
      </c>
      <c r="BT11" s="11" t="n">
        <v>0</v>
      </c>
      <c r="BU11" s="11" t="n">
        <v>0</v>
      </c>
      <c r="BV11" s="11" t="n">
        <v>0</v>
      </c>
      <c r="BW11" s="11" t="n">
        <v>0</v>
      </c>
      <c r="BX11" s="11" t="n">
        <v>0</v>
      </c>
      <c r="BY11" s="11" t="n">
        <v>0</v>
      </c>
      <c r="BZ11" s="11" t="n">
        <v>0</v>
      </c>
      <c r="CA11" s="11" t="n">
        <v>0</v>
      </c>
      <c r="CB11" s="11" t="n">
        <v>0</v>
      </c>
      <c r="CC11" s="11" t="n">
        <v>0</v>
      </c>
      <c r="CD11" s="11" t="n">
        <v>0</v>
      </c>
      <c r="CE11" s="11" t="n">
        <v>0</v>
      </c>
    </row>
    <row r="12">
      <c r="A12" s="14" t="inlineStr">
        <is>
          <t>2025-07-21</t>
        </is>
      </c>
      <c r="B12" s="8" t="n">
        <v>0</v>
      </c>
      <c r="C12" s="8" t="n">
        <v>0</v>
      </c>
      <c r="D12" s="8" t="n">
        <v>0</v>
      </c>
      <c r="E12" s="8" t="n">
        <v>1</v>
      </c>
      <c r="F12" s="8" t="n">
        <v>3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6</v>
      </c>
      <c r="Q12" s="8" t="n">
        <v>0</v>
      </c>
      <c r="R12" s="8" t="n">
        <v>15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8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7</v>
      </c>
      <c r="AN12" s="8" t="n">
        <v>0</v>
      </c>
      <c r="AO12" s="8" t="n">
        <v>0</v>
      </c>
      <c r="AP12" s="8" t="n">
        <v>0</v>
      </c>
      <c r="AQ12" s="8" t="n">
        <v>0</v>
      </c>
      <c r="AR12" s="8" t="n">
        <v>0</v>
      </c>
      <c r="AS12" s="8" t="n">
        <v>0</v>
      </c>
      <c r="AT12" s="8" t="n">
        <v>0.5</v>
      </c>
      <c r="AU12" s="8" t="n">
        <v>0</v>
      </c>
      <c r="AV12" s="8" t="n">
        <v>0</v>
      </c>
      <c r="AW12" s="8" t="n">
        <v>2</v>
      </c>
      <c r="AX12" s="8" t="n">
        <v>0</v>
      </c>
      <c r="AY12" s="8" t="n">
        <v>0</v>
      </c>
      <c r="AZ12" s="8" t="n">
        <v>0</v>
      </c>
      <c r="BA12" s="8" t="n">
        <v>0</v>
      </c>
      <c r="BB12" s="8" t="n">
        <v>0</v>
      </c>
      <c r="BC12" s="8" t="n">
        <v>0</v>
      </c>
      <c r="BD12" s="8" t="n">
        <v>0</v>
      </c>
      <c r="BE12" s="8" t="n">
        <v>0</v>
      </c>
      <c r="BF12" s="8" t="n">
        <v>0</v>
      </c>
      <c r="BG12" s="8" t="n">
        <v>0</v>
      </c>
      <c r="BH12" s="8" t="n">
        <v>0</v>
      </c>
      <c r="BI12" s="8" t="n">
        <v>0</v>
      </c>
      <c r="BJ12" s="8" t="n">
        <v>0</v>
      </c>
      <c r="BK12" s="8" t="n">
        <v>0</v>
      </c>
      <c r="BL12" s="8" t="n">
        <v>11</v>
      </c>
      <c r="BM12" s="8" t="n">
        <v>0</v>
      </c>
      <c r="BN12" s="8" t="n">
        <v>0</v>
      </c>
      <c r="BO12" s="8" t="n">
        <v>0</v>
      </c>
      <c r="BP12" s="8" t="n">
        <v>0</v>
      </c>
      <c r="BQ12" s="8" t="n">
        <v>0</v>
      </c>
      <c r="BR12" s="8" t="n">
        <v>0</v>
      </c>
      <c r="BS12" s="8" t="n">
        <v>0</v>
      </c>
      <c r="BT12" s="8" t="n">
        <v>0</v>
      </c>
      <c r="BU12" s="8" t="n">
        <v>0</v>
      </c>
      <c r="BV12" s="8" t="n">
        <v>0</v>
      </c>
      <c r="BW12" s="8" t="n">
        <v>0</v>
      </c>
      <c r="BX12" s="8" t="n">
        <v>0</v>
      </c>
      <c r="BY12" s="8" t="n">
        <v>0</v>
      </c>
      <c r="BZ12" s="8" t="n">
        <v>0</v>
      </c>
      <c r="CA12" s="8" t="n">
        <v>0</v>
      </c>
      <c r="CB12" s="8" t="n">
        <v>0</v>
      </c>
      <c r="CC12" s="8" t="n">
        <v>0</v>
      </c>
      <c r="CD12" s="8" t="n">
        <v>0</v>
      </c>
      <c r="CE12" s="8" t="n">
        <v>0</v>
      </c>
    </row>
    <row r="13">
      <c r="A13" s="15" t="inlineStr">
        <is>
          <t>2025-07-22</t>
        </is>
      </c>
      <c r="B13" s="11" t="n">
        <v>0</v>
      </c>
      <c r="C13" s="11" t="n">
        <v>0</v>
      </c>
      <c r="D13" s="11" t="n">
        <v>0</v>
      </c>
      <c r="E13" s="11" t="n">
        <v>1</v>
      </c>
      <c r="F13" s="11" t="n">
        <v>3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2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6</v>
      </c>
      <c r="Q13" s="11" t="n">
        <v>0</v>
      </c>
      <c r="R13" s="11" t="n">
        <v>15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0</v>
      </c>
      <c r="X13" s="11" t="n">
        <v>0</v>
      </c>
      <c r="Y13" s="11" t="n">
        <v>0</v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8</v>
      </c>
      <c r="AG13" s="11" t="n">
        <v>0</v>
      </c>
      <c r="AH13" s="11" t="n">
        <v>0</v>
      </c>
      <c r="AI13" s="11" t="n">
        <v>0</v>
      </c>
      <c r="AJ13" s="11" t="n">
        <v>0</v>
      </c>
      <c r="AK13" s="11" t="n">
        <v>0</v>
      </c>
      <c r="AL13" s="11" t="n">
        <v>0</v>
      </c>
      <c r="AM13" s="11" t="n">
        <v>7</v>
      </c>
      <c r="AN13" s="11" t="n">
        <v>0</v>
      </c>
      <c r="AO13" s="11" t="n">
        <v>0</v>
      </c>
      <c r="AP13" s="11" t="n">
        <v>0</v>
      </c>
      <c r="AQ13" s="11" t="n">
        <v>0</v>
      </c>
      <c r="AR13" s="11" t="n">
        <v>0</v>
      </c>
      <c r="AS13" s="11" t="n">
        <v>0</v>
      </c>
      <c r="AT13" s="11" t="n">
        <v>0.5</v>
      </c>
      <c r="AU13" s="11" t="n">
        <v>0</v>
      </c>
      <c r="AV13" s="11" t="n">
        <v>0</v>
      </c>
      <c r="AW13" s="11" t="n">
        <v>2</v>
      </c>
      <c r="AX13" s="11" t="n">
        <v>0</v>
      </c>
      <c r="AY13" s="11" t="n">
        <v>0</v>
      </c>
      <c r="AZ13" s="11" t="n">
        <v>0</v>
      </c>
      <c r="BA13" s="11" t="n">
        <v>0</v>
      </c>
      <c r="BB13" s="11" t="n">
        <v>0</v>
      </c>
      <c r="BC13" s="11" t="n">
        <v>0</v>
      </c>
      <c r="BD13" s="11" t="n">
        <v>0</v>
      </c>
      <c r="BE13" s="11" t="n">
        <v>0</v>
      </c>
      <c r="BF13" s="11" t="n">
        <v>0</v>
      </c>
      <c r="BG13" s="11" t="n">
        <v>0</v>
      </c>
      <c r="BH13" s="11" t="n">
        <v>0</v>
      </c>
      <c r="BI13" s="11" t="n">
        <v>0</v>
      </c>
      <c r="BJ13" s="11" t="n">
        <v>0</v>
      </c>
      <c r="BK13" s="11" t="n">
        <v>0</v>
      </c>
      <c r="BL13" s="11" t="n">
        <v>11</v>
      </c>
      <c r="BM13" s="11" t="n">
        <v>0</v>
      </c>
      <c r="BN13" s="11" t="n">
        <v>0</v>
      </c>
      <c r="BO13" s="11" t="n">
        <v>0</v>
      </c>
      <c r="BP13" s="11" t="n">
        <v>0</v>
      </c>
      <c r="BQ13" s="11" t="n">
        <v>0</v>
      </c>
      <c r="BR13" s="11" t="n">
        <v>0</v>
      </c>
      <c r="BS13" s="11" t="n">
        <v>0</v>
      </c>
      <c r="BT13" s="11" t="n">
        <v>0</v>
      </c>
      <c r="BU13" s="11" t="n">
        <v>0</v>
      </c>
      <c r="BV13" s="11" t="n">
        <v>0</v>
      </c>
      <c r="BW13" s="11" t="n">
        <v>0</v>
      </c>
      <c r="BX13" s="11" t="n">
        <v>0</v>
      </c>
      <c r="BY13" s="11" t="n">
        <v>0</v>
      </c>
      <c r="BZ13" s="11" t="n">
        <v>0</v>
      </c>
      <c r="CA13" s="11" t="n">
        <v>0</v>
      </c>
      <c r="CB13" s="11" t="n">
        <v>0</v>
      </c>
      <c r="CC13" s="11" t="n">
        <v>0</v>
      </c>
      <c r="CD13" s="11" t="n">
        <v>0</v>
      </c>
      <c r="CE13" s="11" t="n">
        <v>0</v>
      </c>
    </row>
    <row r="14">
      <c r="A14" s="14" t="inlineStr">
        <is>
          <t>2025-07-23</t>
        </is>
      </c>
      <c r="B14" s="8" t="n">
        <v>0</v>
      </c>
      <c r="C14" s="8" t="n">
        <v>0</v>
      </c>
      <c r="D14" s="8" t="n">
        <v>0</v>
      </c>
      <c r="E14" s="8" t="n">
        <v>1</v>
      </c>
      <c r="F14" s="8" t="n">
        <v>5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2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6</v>
      </c>
      <c r="Q14" s="8" t="n">
        <v>0</v>
      </c>
      <c r="R14" s="8" t="n">
        <v>15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8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7</v>
      </c>
      <c r="AN14" s="8" t="n">
        <v>0</v>
      </c>
      <c r="AO14" s="8" t="n">
        <v>0</v>
      </c>
      <c r="AP14" s="8" t="n">
        <v>0</v>
      </c>
      <c r="AQ14" s="8" t="n">
        <v>0</v>
      </c>
      <c r="AR14" s="8" t="n">
        <v>0</v>
      </c>
      <c r="AS14" s="8" t="n">
        <v>0</v>
      </c>
      <c r="AT14" s="8" t="n">
        <v>0.5</v>
      </c>
      <c r="AU14" s="8" t="n">
        <v>0</v>
      </c>
      <c r="AV14" s="8" t="n">
        <v>0</v>
      </c>
      <c r="AW14" s="8" t="n">
        <v>2</v>
      </c>
      <c r="AX14" s="8" t="n">
        <v>0</v>
      </c>
      <c r="AY14" s="8" t="n">
        <v>0</v>
      </c>
      <c r="AZ14" s="8" t="n">
        <v>0</v>
      </c>
      <c r="BA14" s="8" t="n">
        <v>0</v>
      </c>
      <c r="BB14" s="8" t="n">
        <v>0</v>
      </c>
      <c r="BC14" s="8" t="n">
        <v>0</v>
      </c>
      <c r="BD14" s="8" t="n">
        <v>0</v>
      </c>
      <c r="BE14" s="8" t="n">
        <v>0</v>
      </c>
      <c r="BF14" s="8" t="n">
        <v>0</v>
      </c>
      <c r="BG14" s="8" t="n">
        <v>0</v>
      </c>
      <c r="BH14" s="8" t="n">
        <v>0</v>
      </c>
      <c r="BI14" s="8" t="n">
        <v>0</v>
      </c>
      <c r="BJ14" s="8" t="n">
        <v>0</v>
      </c>
      <c r="BK14" s="8" t="n">
        <v>0</v>
      </c>
      <c r="BL14" s="8" t="n">
        <v>11</v>
      </c>
      <c r="BM14" s="8" t="n">
        <v>0</v>
      </c>
      <c r="BN14" s="8" t="n">
        <v>0</v>
      </c>
      <c r="BO14" s="8" t="n">
        <v>0</v>
      </c>
      <c r="BP14" s="8" t="n">
        <v>0</v>
      </c>
      <c r="BQ14" s="8" t="n">
        <v>0</v>
      </c>
      <c r="BR14" s="8" t="n">
        <v>0</v>
      </c>
      <c r="BS14" s="8" t="n">
        <v>0</v>
      </c>
      <c r="BT14" s="8" t="n">
        <v>0</v>
      </c>
      <c r="BU14" s="8" t="n">
        <v>0</v>
      </c>
      <c r="BV14" s="8" t="n">
        <v>0</v>
      </c>
      <c r="BW14" s="8" t="n">
        <v>0</v>
      </c>
      <c r="BX14" s="8" t="n">
        <v>0</v>
      </c>
      <c r="BY14" s="8" t="n">
        <v>0</v>
      </c>
      <c r="BZ14" s="8" t="n">
        <v>0</v>
      </c>
      <c r="CA14" s="8" t="n">
        <v>0</v>
      </c>
      <c r="CB14" s="8" t="n">
        <v>0</v>
      </c>
      <c r="CC14" s="8" t="n">
        <v>0</v>
      </c>
      <c r="CD14" s="8" t="n">
        <v>0</v>
      </c>
      <c r="CE14" s="8" t="n">
        <v>0</v>
      </c>
    </row>
    <row r="15">
      <c r="A15" s="15" t="inlineStr">
        <is>
          <t>2025-07-24</t>
        </is>
      </c>
      <c r="B15" s="11" t="n">
        <v>0</v>
      </c>
      <c r="C15" s="11" t="n">
        <v>0</v>
      </c>
      <c r="D15" s="11" t="n">
        <v>0</v>
      </c>
      <c r="E15" s="11" t="n">
        <v>1</v>
      </c>
      <c r="F15" s="11" t="n">
        <v>5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2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6</v>
      </c>
      <c r="Q15" s="11" t="n">
        <v>0</v>
      </c>
      <c r="R15" s="11" t="n">
        <v>15</v>
      </c>
      <c r="S15" s="11" t="n">
        <v>0</v>
      </c>
      <c r="T15" s="11" t="n">
        <v>0</v>
      </c>
      <c r="U15" s="11" t="n">
        <v>0</v>
      </c>
      <c r="V15" s="11" t="n">
        <v>0</v>
      </c>
      <c r="W15" s="11" t="n">
        <v>0</v>
      </c>
      <c r="X15" s="11" t="n">
        <v>0</v>
      </c>
      <c r="Y15" s="11" t="n">
        <v>0</v>
      </c>
      <c r="Z15" s="11" t="n">
        <v>0</v>
      </c>
      <c r="AA15" s="11" t="n">
        <v>0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8</v>
      </c>
      <c r="AG15" s="11" t="n">
        <v>0</v>
      </c>
      <c r="AH15" s="11" t="n">
        <v>0</v>
      </c>
      <c r="AI15" s="11" t="n">
        <v>0</v>
      </c>
      <c r="AJ15" s="11" t="n">
        <v>0</v>
      </c>
      <c r="AK15" s="11" t="n">
        <v>0</v>
      </c>
      <c r="AL15" s="11" t="n">
        <v>0</v>
      </c>
      <c r="AM15" s="11" t="n">
        <v>7</v>
      </c>
      <c r="AN15" s="11" t="n">
        <v>0</v>
      </c>
      <c r="AO15" s="11" t="n">
        <v>0</v>
      </c>
      <c r="AP15" s="11" t="n">
        <v>0</v>
      </c>
      <c r="AQ15" s="11" t="n">
        <v>0</v>
      </c>
      <c r="AR15" s="11" t="n">
        <v>0</v>
      </c>
      <c r="AS15" s="11" t="n">
        <v>0</v>
      </c>
      <c r="AT15" s="11" t="n">
        <v>0.5</v>
      </c>
      <c r="AU15" s="11" t="n">
        <v>0</v>
      </c>
      <c r="AV15" s="11" t="n">
        <v>0</v>
      </c>
      <c r="AW15" s="11" t="n">
        <v>0</v>
      </c>
      <c r="AX15" s="11" t="n">
        <v>0</v>
      </c>
      <c r="AY15" s="11" t="n">
        <v>0</v>
      </c>
      <c r="AZ15" s="11" t="n">
        <v>0</v>
      </c>
      <c r="BA15" s="11" t="n">
        <v>0</v>
      </c>
      <c r="BB15" s="11" t="n">
        <v>0</v>
      </c>
      <c r="BC15" s="11" t="n">
        <v>0</v>
      </c>
      <c r="BD15" s="11" t="n">
        <v>0</v>
      </c>
      <c r="BE15" s="11" t="n">
        <v>0</v>
      </c>
      <c r="BF15" s="11" t="n">
        <v>0</v>
      </c>
      <c r="BG15" s="11" t="n">
        <v>0</v>
      </c>
      <c r="BH15" s="11" t="n">
        <v>0</v>
      </c>
      <c r="BI15" s="11" t="n">
        <v>0</v>
      </c>
      <c r="BJ15" s="11" t="n">
        <v>0</v>
      </c>
      <c r="BK15" s="11" t="n">
        <v>0</v>
      </c>
      <c r="BL15" s="11" t="n">
        <v>11</v>
      </c>
      <c r="BM15" s="11" t="n">
        <v>0</v>
      </c>
      <c r="BN15" s="11" t="n">
        <v>0</v>
      </c>
      <c r="BO15" s="11" t="n">
        <v>0</v>
      </c>
      <c r="BP15" s="11" t="n">
        <v>0</v>
      </c>
      <c r="BQ15" s="11" t="n">
        <v>0</v>
      </c>
      <c r="BR15" s="11" t="n">
        <v>0</v>
      </c>
      <c r="BS15" s="11" t="n">
        <v>0</v>
      </c>
      <c r="BT15" s="11" t="n">
        <v>0</v>
      </c>
      <c r="BU15" s="11" t="n">
        <v>0</v>
      </c>
      <c r="BV15" s="11" t="n">
        <v>0</v>
      </c>
      <c r="BW15" s="11" t="n">
        <v>0</v>
      </c>
      <c r="BX15" s="11" t="n">
        <v>0</v>
      </c>
      <c r="BY15" s="11" t="n">
        <v>0</v>
      </c>
      <c r="BZ15" s="11" t="n">
        <v>0</v>
      </c>
      <c r="CA15" s="11" t="n">
        <v>0</v>
      </c>
      <c r="CB15" s="11" t="n">
        <v>0</v>
      </c>
      <c r="CC15" s="11" t="n">
        <v>0</v>
      </c>
      <c r="CD15" s="11" t="n">
        <v>0</v>
      </c>
      <c r="CE15" s="11" t="n">
        <v>0</v>
      </c>
    </row>
    <row r="16">
      <c r="A16" s="14" t="inlineStr">
        <is>
          <t>2025-07-25</t>
        </is>
      </c>
      <c r="B16" s="8" t="n">
        <v>0</v>
      </c>
      <c r="C16" s="8" t="n">
        <v>0</v>
      </c>
      <c r="D16" s="8" t="n">
        <v>0</v>
      </c>
      <c r="E16" s="8" t="n">
        <v>1</v>
      </c>
      <c r="F16" s="8" t="n">
        <v>5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2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6</v>
      </c>
      <c r="Q16" s="8" t="n">
        <v>0</v>
      </c>
      <c r="R16" s="8" t="n">
        <v>15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8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7</v>
      </c>
      <c r="AN16" s="8" t="n">
        <v>0</v>
      </c>
      <c r="AO16" s="8" t="n">
        <v>0</v>
      </c>
      <c r="AP16" s="8" t="n">
        <v>0</v>
      </c>
      <c r="AQ16" s="8" t="n">
        <v>0</v>
      </c>
      <c r="AR16" s="8" t="n">
        <v>0</v>
      </c>
      <c r="AS16" s="8" t="n">
        <v>0</v>
      </c>
      <c r="AT16" s="8" t="n">
        <v>0.5</v>
      </c>
      <c r="AU16" s="8" t="n">
        <v>0</v>
      </c>
      <c r="AV16" s="8" t="n">
        <v>0</v>
      </c>
      <c r="AW16" s="8" t="n">
        <v>0</v>
      </c>
      <c r="AX16" s="8" t="n">
        <v>0</v>
      </c>
      <c r="AY16" s="8" t="n">
        <v>0</v>
      </c>
      <c r="AZ16" s="8" t="n">
        <v>0</v>
      </c>
      <c r="BA16" s="8" t="n">
        <v>0</v>
      </c>
      <c r="BB16" s="8" t="n">
        <v>0</v>
      </c>
      <c r="BC16" s="8" t="n">
        <v>0</v>
      </c>
      <c r="BD16" s="8" t="n">
        <v>0</v>
      </c>
      <c r="BE16" s="8" t="n">
        <v>0</v>
      </c>
      <c r="BF16" s="8" t="n">
        <v>0</v>
      </c>
      <c r="BG16" s="8" t="n">
        <v>0</v>
      </c>
      <c r="BH16" s="8" t="n">
        <v>0</v>
      </c>
      <c r="BI16" s="8" t="n">
        <v>0</v>
      </c>
      <c r="BJ16" s="8" t="n">
        <v>0</v>
      </c>
      <c r="BK16" s="8" t="n">
        <v>0</v>
      </c>
      <c r="BL16" s="8" t="n">
        <v>13</v>
      </c>
      <c r="BM16" s="8" t="n">
        <v>0</v>
      </c>
      <c r="BN16" s="8" t="n">
        <v>0</v>
      </c>
      <c r="BO16" s="8" t="n">
        <v>0</v>
      </c>
      <c r="BP16" s="8" t="n">
        <v>0</v>
      </c>
      <c r="BQ16" s="8" t="n">
        <v>0</v>
      </c>
      <c r="BR16" s="8" t="n">
        <v>0</v>
      </c>
      <c r="BS16" s="8" t="n">
        <v>0</v>
      </c>
      <c r="BT16" s="8" t="n">
        <v>0</v>
      </c>
      <c r="BU16" s="8" t="n">
        <v>0</v>
      </c>
      <c r="BV16" s="8" t="n">
        <v>0</v>
      </c>
      <c r="BW16" s="8" t="n">
        <v>0</v>
      </c>
      <c r="BX16" s="8" t="n">
        <v>0</v>
      </c>
      <c r="BY16" s="8" t="n">
        <v>0</v>
      </c>
      <c r="BZ16" s="8" t="n">
        <v>0</v>
      </c>
      <c r="CA16" s="8" t="n">
        <v>0</v>
      </c>
      <c r="CB16" s="8" t="n">
        <v>0</v>
      </c>
      <c r="CC16" s="8" t="n">
        <v>0</v>
      </c>
      <c r="CD16" s="8" t="n">
        <v>0</v>
      </c>
      <c r="CE16" s="8" t="n">
        <v>0</v>
      </c>
    </row>
    <row r="17">
      <c r="A17" s="15" t="inlineStr">
        <is>
          <t>2025-07-28</t>
        </is>
      </c>
      <c r="B17" s="11" t="n">
        <v>0</v>
      </c>
      <c r="C17" s="11" t="n">
        <v>0</v>
      </c>
      <c r="D17" s="11" t="n">
        <v>0</v>
      </c>
      <c r="E17" s="11" t="n">
        <v>1</v>
      </c>
      <c r="F17" s="11" t="n">
        <v>5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2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6</v>
      </c>
      <c r="Q17" s="11" t="n">
        <v>0</v>
      </c>
      <c r="R17" s="11" t="n">
        <v>15</v>
      </c>
      <c r="S17" s="11" t="n">
        <v>0</v>
      </c>
      <c r="T17" s="11" t="n">
        <v>0</v>
      </c>
      <c r="U17" s="11" t="n">
        <v>0</v>
      </c>
      <c r="V17" s="11" t="n">
        <v>0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v>0</v>
      </c>
      <c r="AB17" s="11" t="n">
        <v>0</v>
      </c>
      <c r="AC17" s="11" t="n">
        <v>0</v>
      </c>
      <c r="AD17" s="11" t="n">
        <v>0</v>
      </c>
      <c r="AE17" s="11" t="n">
        <v>0</v>
      </c>
      <c r="AF17" s="11" t="n">
        <v>12</v>
      </c>
      <c r="AG17" s="11" t="n">
        <v>0</v>
      </c>
      <c r="AH17" s="11" t="n">
        <v>0</v>
      </c>
      <c r="AI17" s="11" t="n">
        <v>0</v>
      </c>
      <c r="AJ17" s="11" t="n">
        <v>0</v>
      </c>
      <c r="AK17" s="11" t="n">
        <v>0</v>
      </c>
      <c r="AL17" s="11" t="n">
        <v>0</v>
      </c>
      <c r="AM17" s="11" t="n">
        <v>7</v>
      </c>
      <c r="AN17" s="11" t="n">
        <v>0</v>
      </c>
      <c r="AO17" s="11" t="n">
        <v>0</v>
      </c>
      <c r="AP17" s="11" t="n">
        <v>0</v>
      </c>
      <c r="AQ17" s="11" t="n">
        <v>0</v>
      </c>
      <c r="AR17" s="11" t="n">
        <v>0</v>
      </c>
      <c r="AS17" s="11" t="n">
        <v>0</v>
      </c>
      <c r="AT17" s="11" t="n">
        <v>0.5</v>
      </c>
      <c r="AU17" s="11" t="n">
        <v>0</v>
      </c>
      <c r="AV17" s="11" t="n">
        <v>0</v>
      </c>
      <c r="AW17" s="11" t="n">
        <v>0</v>
      </c>
      <c r="AX17" s="11" t="n">
        <v>0</v>
      </c>
      <c r="AY17" s="11" t="n">
        <v>0</v>
      </c>
      <c r="AZ17" s="11" t="n">
        <v>0</v>
      </c>
      <c r="BA17" s="11" t="n">
        <v>0</v>
      </c>
      <c r="BB17" s="11" t="n">
        <v>0</v>
      </c>
      <c r="BC17" s="11" t="n">
        <v>0</v>
      </c>
      <c r="BD17" s="11" t="n">
        <v>0</v>
      </c>
      <c r="BE17" s="11" t="n">
        <v>0</v>
      </c>
      <c r="BF17" s="11" t="n">
        <v>0</v>
      </c>
      <c r="BG17" s="11" t="n">
        <v>0</v>
      </c>
      <c r="BH17" s="11" t="n">
        <v>0</v>
      </c>
      <c r="BI17" s="11" t="n">
        <v>0</v>
      </c>
      <c r="BJ17" s="11" t="n">
        <v>0</v>
      </c>
      <c r="BK17" s="11" t="n">
        <v>0</v>
      </c>
      <c r="BL17" s="11" t="n">
        <v>13</v>
      </c>
      <c r="BM17" s="11" t="n">
        <v>0</v>
      </c>
      <c r="BN17" s="11" t="n">
        <v>0</v>
      </c>
      <c r="BO17" s="11" t="n">
        <v>0</v>
      </c>
      <c r="BP17" s="11" t="n">
        <v>0</v>
      </c>
      <c r="BQ17" s="11" t="n">
        <v>0</v>
      </c>
      <c r="BR17" s="11" t="n">
        <v>0</v>
      </c>
      <c r="BS17" s="11" t="n">
        <v>0</v>
      </c>
      <c r="BT17" s="11" t="n">
        <v>0</v>
      </c>
      <c r="BU17" s="11" t="n">
        <v>0</v>
      </c>
      <c r="BV17" s="11" t="n">
        <v>0</v>
      </c>
      <c r="BW17" s="11" t="n">
        <v>0</v>
      </c>
      <c r="BX17" s="11" t="n">
        <v>0</v>
      </c>
      <c r="BY17" s="11" t="n">
        <v>0</v>
      </c>
      <c r="BZ17" s="11" t="n">
        <v>0</v>
      </c>
      <c r="CA17" s="11" t="n">
        <v>0</v>
      </c>
      <c r="CB17" s="11" t="n">
        <v>0</v>
      </c>
      <c r="CC17" s="11" t="n">
        <v>0</v>
      </c>
      <c r="CD17" s="11" t="n">
        <v>0</v>
      </c>
      <c r="CE17" s="11" t="n">
        <v>0</v>
      </c>
    </row>
    <row r="18">
      <c r="A18" s="14" t="inlineStr">
        <is>
          <t>2025-07-29</t>
        </is>
      </c>
      <c r="B18" s="8" t="n">
        <v>0</v>
      </c>
      <c r="C18" s="8" t="n">
        <v>0</v>
      </c>
      <c r="D18" s="8" t="n">
        <v>0</v>
      </c>
      <c r="E18" s="8" t="n">
        <v>1</v>
      </c>
      <c r="F18" s="8" t="n">
        <v>5</v>
      </c>
      <c r="G18" s="8" t="n">
        <v>0</v>
      </c>
      <c r="H18" s="8" t="n">
        <v>2</v>
      </c>
      <c r="I18" s="8" t="n">
        <v>0</v>
      </c>
      <c r="J18" s="8" t="n">
        <v>0</v>
      </c>
      <c r="K18" s="8" t="n">
        <v>2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6</v>
      </c>
      <c r="Q18" s="8" t="n">
        <v>0</v>
      </c>
      <c r="R18" s="8" t="n">
        <v>15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12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7</v>
      </c>
      <c r="AN18" s="8" t="n">
        <v>0</v>
      </c>
      <c r="AO18" s="8" t="n">
        <v>0</v>
      </c>
      <c r="AP18" s="8" t="n">
        <v>0</v>
      </c>
      <c r="AQ18" s="8" t="n">
        <v>0</v>
      </c>
      <c r="AR18" s="8" t="n">
        <v>0</v>
      </c>
      <c r="AS18" s="8" t="n">
        <v>0</v>
      </c>
      <c r="AT18" s="8" t="n">
        <v>0</v>
      </c>
      <c r="AU18" s="8" t="n">
        <v>0</v>
      </c>
      <c r="AV18" s="8" t="n">
        <v>0</v>
      </c>
      <c r="AW18" s="8" t="n">
        <v>0</v>
      </c>
      <c r="AX18" s="8" t="n">
        <v>0</v>
      </c>
      <c r="AY18" s="8" t="n">
        <v>0</v>
      </c>
      <c r="AZ18" s="8" t="n">
        <v>0</v>
      </c>
      <c r="BA18" s="8" t="n">
        <v>0</v>
      </c>
      <c r="BB18" s="8" t="n">
        <v>0</v>
      </c>
      <c r="BC18" s="8" t="n">
        <v>0</v>
      </c>
      <c r="BD18" s="8" t="n">
        <v>0</v>
      </c>
      <c r="BE18" s="8" t="n">
        <v>0</v>
      </c>
      <c r="BF18" s="8" t="n">
        <v>0</v>
      </c>
      <c r="BG18" s="8" t="n">
        <v>0</v>
      </c>
      <c r="BH18" s="8" t="n">
        <v>0</v>
      </c>
      <c r="BI18" s="8" t="n">
        <v>0</v>
      </c>
      <c r="BJ18" s="8" t="n">
        <v>0</v>
      </c>
      <c r="BK18" s="8" t="n">
        <v>0</v>
      </c>
      <c r="BL18" s="8" t="n">
        <v>13</v>
      </c>
      <c r="BM18" s="8" t="n">
        <v>0</v>
      </c>
      <c r="BN18" s="8" t="n">
        <v>0</v>
      </c>
      <c r="BO18" s="8" t="n">
        <v>0</v>
      </c>
      <c r="BP18" s="8" t="n">
        <v>0</v>
      </c>
      <c r="BQ18" s="8" t="n">
        <v>0</v>
      </c>
      <c r="BR18" s="8" t="n">
        <v>0</v>
      </c>
      <c r="BS18" s="8" t="n">
        <v>0</v>
      </c>
      <c r="BT18" s="8" t="n">
        <v>0</v>
      </c>
      <c r="BU18" s="8" t="n">
        <v>0</v>
      </c>
      <c r="BV18" s="8" t="n">
        <v>0</v>
      </c>
      <c r="BW18" s="8" t="n">
        <v>0</v>
      </c>
      <c r="BX18" s="8" t="n">
        <v>0</v>
      </c>
      <c r="BY18" s="8" t="n">
        <v>0</v>
      </c>
      <c r="BZ18" s="8" t="n">
        <v>0</v>
      </c>
      <c r="CA18" s="8" t="n">
        <v>0</v>
      </c>
      <c r="CB18" s="8" t="n">
        <v>0</v>
      </c>
      <c r="CC18" s="8" t="n">
        <v>0</v>
      </c>
      <c r="CD18" s="8" t="n">
        <v>0</v>
      </c>
      <c r="CE18" s="8" t="n">
        <v>0</v>
      </c>
    </row>
    <row r="19">
      <c r="A19" s="15" t="inlineStr">
        <is>
          <t>2025-07-30</t>
        </is>
      </c>
      <c r="B19" s="11" t="n">
        <v>0</v>
      </c>
      <c r="C19" s="11" t="n">
        <v>0</v>
      </c>
      <c r="D19" s="11" t="n">
        <v>0</v>
      </c>
      <c r="E19" s="11" t="n">
        <v>1</v>
      </c>
      <c r="F19" s="11" t="n">
        <v>5</v>
      </c>
      <c r="G19" s="11" t="n">
        <v>0</v>
      </c>
      <c r="H19" s="11" t="n">
        <v>2</v>
      </c>
      <c r="I19" s="11" t="n">
        <v>0</v>
      </c>
      <c r="J19" s="11" t="n">
        <v>0</v>
      </c>
      <c r="K19" s="11" t="n">
        <v>2</v>
      </c>
      <c r="L19" s="11" t="n">
        <v>0</v>
      </c>
      <c r="M19" s="11" t="n">
        <v>0</v>
      </c>
      <c r="N19" s="11" t="n">
        <v>0</v>
      </c>
      <c r="O19" s="11" t="n">
        <v>0</v>
      </c>
      <c r="P19" s="11" t="n">
        <v>6</v>
      </c>
      <c r="Q19" s="11" t="n">
        <v>0</v>
      </c>
      <c r="R19" s="11" t="n">
        <v>15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  <c r="AD19" s="11" t="n">
        <v>0</v>
      </c>
      <c r="AE19" s="11" t="n">
        <v>0</v>
      </c>
      <c r="AF19" s="11" t="n">
        <v>12</v>
      </c>
      <c r="AG19" s="11" t="n">
        <v>0</v>
      </c>
      <c r="AH19" s="11" t="n">
        <v>0</v>
      </c>
      <c r="AI19" s="11" t="n">
        <v>0</v>
      </c>
      <c r="AJ19" s="11" t="n">
        <v>0</v>
      </c>
      <c r="AK19" s="11" t="n">
        <v>0</v>
      </c>
      <c r="AL19" s="11" t="n">
        <v>0</v>
      </c>
      <c r="AM19" s="11" t="n">
        <v>7</v>
      </c>
      <c r="AN19" s="11" t="n">
        <v>0</v>
      </c>
      <c r="AO19" s="11" t="n">
        <v>0</v>
      </c>
      <c r="AP19" s="11" t="n">
        <v>0</v>
      </c>
      <c r="AQ19" s="11" t="n">
        <v>0</v>
      </c>
      <c r="AR19" s="11" t="n">
        <v>0</v>
      </c>
      <c r="AS19" s="11" t="n">
        <v>0</v>
      </c>
      <c r="AT19" s="11" t="n">
        <v>0</v>
      </c>
      <c r="AU19" s="11" t="n">
        <v>0</v>
      </c>
      <c r="AV19" s="11" t="n">
        <v>0</v>
      </c>
      <c r="AW19" s="11" t="n">
        <v>0</v>
      </c>
      <c r="AX19" s="11" t="n">
        <v>0</v>
      </c>
      <c r="AY19" s="11" t="n">
        <v>0</v>
      </c>
      <c r="AZ19" s="11" t="n">
        <v>0</v>
      </c>
      <c r="BA19" s="11" t="n">
        <v>0</v>
      </c>
      <c r="BB19" s="11" t="n">
        <v>0</v>
      </c>
      <c r="BC19" s="11" t="n">
        <v>0</v>
      </c>
      <c r="BD19" s="11" t="n">
        <v>0</v>
      </c>
      <c r="BE19" s="11" t="n">
        <v>0</v>
      </c>
      <c r="BF19" s="11" t="n">
        <v>0</v>
      </c>
      <c r="BG19" s="11" t="n">
        <v>0</v>
      </c>
      <c r="BH19" s="11" t="n">
        <v>0</v>
      </c>
      <c r="BI19" s="11" t="n">
        <v>0</v>
      </c>
      <c r="BJ19" s="11" t="n">
        <v>0</v>
      </c>
      <c r="BK19" s="11" t="n">
        <v>0</v>
      </c>
      <c r="BL19" s="11" t="n">
        <v>15</v>
      </c>
      <c r="BM19" s="11" t="n">
        <v>0</v>
      </c>
      <c r="BN19" s="11" t="n">
        <v>0</v>
      </c>
      <c r="BO19" s="11" t="n">
        <v>0</v>
      </c>
      <c r="BP19" s="11" t="n">
        <v>0</v>
      </c>
      <c r="BQ19" s="11" t="n">
        <v>0</v>
      </c>
      <c r="BR19" s="11" t="n">
        <v>0</v>
      </c>
      <c r="BS19" s="11" t="n">
        <v>0</v>
      </c>
      <c r="BT19" s="11" t="n">
        <v>0</v>
      </c>
      <c r="BU19" s="11" t="n">
        <v>0</v>
      </c>
      <c r="BV19" s="11" t="n">
        <v>0</v>
      </c>
      <c r="BW19" s="11" t="n">
        <v>0</v>
      </c>
      <c r="BX19" s="11" t="n">
        <v>0</v>
      </c>
      <c r="BY19" s="11" t="n">
        <v>0</v>
      </c>
      <c r="BZ19" s="11" t="n">
        <v>0</v>
      </c>
      <c r="CA19" s="11" t="n">
        <v>0</v>
      </c>
      <c r="CB19" s="11" t="n">
        <v>0</v>
      </c>
      <c r="CC19" s="11" t="n">
        <v>0</v>
      </c>
      <c r="CD19" s="11" t="n">
        <v>0</v>
      </c>
      <c r="CE19" s="11" t="n">
        <v>0</v>
      </c>
    </row>
    <row r="20">
      <c r="A20" s="14" t="inlineStr">
        <is>
          <t>2025-07-31</t>
        </is>
      </c>
      <c r="B20" s="8" t="n">
        <v>0</v>
      </c>
      <c r="C20" s="8" t="n">
        <v>0</v>
      </c>
      <c r="D20" s="8" t="n">
        <v>0</v>
      </c>
      <c r="E20" s="8" t="n">
        <v>1</v>
      </c>
      <c r="F20" s="8" t="n">
        <v>5</v>
      </c>
      <c r="G20" s="8" t="n">
        <v>0</v>
      </c>
      <c r="H20" s="8" t="n">
        <v>2</v>
      </c>
      <c r="I20" s="8" t="n">
        <v>0</v>
      </c>
      <c r="J20" s="8" t="n">
        <v>0</v>
      </c>
      <c r="K20" s="8" t="n">
        <v>2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6</v>
      </c>
      <c r="Q20" s="8" t="n">
        <v>0</v>
      </c>
      <c r="R20" s="8" t="n">
        <v>15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12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7</v>
      </c>
      <c r="AN20" s="8" t="n">
        <v>0</v>
      </c>
      <c r="AO20" s="8" t="n">
        <v>0</v>
      </c>
      <c r="AP20" s="8" t="n">
        <v>0</v>
      </c>
      <c r="AQ20" s="8" t="n">
        <v>0</v>
      </c>
      <c r="AR20" s="8" t="n">
        <v>0</v>
      </c>
      <c r="AS20" s="8" t="n">
        <v>0</v>
      </c>
      <c r="AT20" s="8" t="n">
        <v>0</v>
      </c>
      <c r="AU20" s="8" t="n">
        <v>0</v>
      </c>
      <c r="AV20" s="8" t="n">
        <v>0</v>
      </c>
      <c r="AW20" s="8" t="n">
        <v>0</v>
      </c>
      <c r="AX20" s="8" t="n">
        <v>0</v>
      </c>
      <c r="AY20" s="8" t="n">
        <v>0</v>
      </c>
      <c r="AZ20" s="8" t="n">
        <v>0</v>
      </c>
      <c r="BA20" s="8" t="n">
        <v>0</v>
      </c>
      <c r="BB20" s="8" t="n">
        <v>0</v>
      </c>
      <c r="BC20" s="8" t="n">
        <v>0</v>
      </c>
      <c r="BD20" s="8" t="n">
        <v>0</v>
      </c>
      <c r="BE20" s="8" t="n">
        <v>0</v>
      </c>
      <c r="BF20" s="8" t="n">
        <v>0</v>
      </c>
      <c r="BG20" s="8" t="n">
        <v>0</v>
      </c>
      <c r="BH20" s="8" t="n">
        <v>0</v>
      </c>
      <c r="BI20" s="8" t="n">
        <v>0</v>
      </c>
      <c r="BJ20" s="8" t="n">
        <v>0</v>
      </c>
      <c r="BK20" s="8" t="n">
        <v>0</v>
      </c>
      <c r="BL20" s="8" t="n">
        <v>15</v>
      </c>
      <c r="BM20" s="8" t="n">
        <v>0</v>
      </c>
      <c r="BN20" s="8" t="n">
        <v>0</v>
      </c>
      <c r="BO20" s="8" t="n">
        <v>0</v>
      </c>
      <c r="BP20" s="8" t="n">
        <v>0</v>
      </c>
      <c r="BQ20" s="8" t="n">
        <v>0</v>
      </c>
      <c r="BR20" s="8" t="n">
        <v>0</v>
      </c>
      <c r="BS20" s="8" t="n">
        <v>0</v>
      </c>
      <c r="BT20" s="8" t="n">
        <v>0</v>
      </c>
      <c r="BU20" s="8" t="n">
        <v>0</v>
      </c>
      <c r="BV20" s="8" t="n">
        <v>0</v>
      </c>
      <c r="BW20" s="8" t="n">
        <v>0</v>
      </c>
      <c r="BX20" s="8" t="n">
        <v>0</v>
      </c>
      <c r="BY20" s="8" t="n">
        <v>0</v>
      </c>
      <c r="BZ20" s="8" t="n">
        <v>0</v>
      </c>
      <c r="CA20" s="8" t="n">
        <v>0</v>
      </c>
      <c r="CB20" s="8" t="n">
        <v>0</v>
      </c>
      <c r="CC20" s="8" t="n">
        <v>0</v>
      </c>
      <c r="CD20" s="8" t="n">
        <v>0</v>
      </c>
      <c r="CE20" s="8" t="n">
        <v>0</v>
      </c>
    </row>
    <row r="21">
      <c r="A21" s="15" t="inlineStr">
        <is>
          <t>2025-08-01</t>
        </is>
      </c>
      <c r="B21" s="11" t="n">
        <v>0</v>
      </c>
      <c r="C21" s="11" t="n">
        <v>0</v>
      </c>
      <c r="D21" s="11" t="n">
        <v>0</v>
      </c>
      <c r="E21" s="11" t="n">
        <v>1</v>
      </c>
      <c r="F21" s="11" t="n">
        <v>5</v>
      </c>
      <c r="G21" s="11" t="n">
        <v>0</v>
      </c>
      <c r="H21" s="11" t="n">
        <v>2</v>
      </c>
      <c r="I21" s="11" t="n">
        <v>0</v>
      </c>
      <c r="J21" s="11" t="n">
        <v>0</v>
      </c>
      <c r="K21" s="11" t="n">
        <v>2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6</v>
      </c>
      <c r="Q21" s="11" t="n">
        <v>0</v>
      </c>
      <c r="R21" s="11" t="n">
        <v>15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11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  <c r="AD21" s="11" t="n">
        <v>0</v>
      </c>
      <c r="AE21" s="11" t="n">
        <v>0</v>
      </c>
      <c r="AF21" s="11" t="n">
        <v>12</v>
      </c>
      <c r="AG21" s="11" t="n">
        <v>0</v>
      </c>
      <c r="AH21" s="11" t="n">
        <v>0</v>
      </c>
      <c r="AI21" s="11" t="n">
        <v>0</v>
      </c>
      <c r="AJ21" s="11" t="n">
        <v>0</v>
      </c>
      <c r="AK21" s="11" t="n">
        <v>0</v>
      </c>
      <c r="AL21" s="11" t="n">
        <v>0</v>
      </c>
      <c r="AM21" s="11" t="n">
        <v>7</v>
      </c>
      <c r="AN21" s="11" t="n">
        <v>0</v>
      </c>
      <c r="AO21" s="11" t="n">
        <v>0</v>
      </c>
      <c r="AP21" s="11" t="n">
        <v>0</v>
      </c>
      <c r="AQ21" s="11" t="n">
        <v>0</v>
      </c>
      <c r="AR21" s="11" t="n">
        <v>0</v>
      </c>
      <c r="AS21" s="11" t="n">
        <v>0</v>
      </c>
      <c r="AT21" s="11" t="n">
        <v>0</v>
      </c>
      <c r="AU21" s="11" t="n">
        <v>0</v>
      </c>
      <c r="AV21" s="11" t="n">
        <v>0</v>
      </c>
      <c r="AW21" s="11" t="n">
        <v>0</v>
      </c>
      <c r="AX21" s="11" t="n">
        <v>0</v>
      </c>
      <c r="AY21" s="11" t="n">
        <v>0</v>
      </c>
      <c r="AZ21" s="11" t="n">
        <v>0</v>
      </c>
      <c r="BA21" s="11" t="n">
        <v>0</v>
      </c>
      <c r="BB21" s="11" t="n">
        <v>0</v>
      </c>
      <c r="BC21" s="11" t="n">
        <v>0</v>
      </c>
      <c r="BD21" s="11" t="n">
        <v>0</v>
      </c>
      <c r="BE21" s="11" t="n">
        <v>0</v>
      </c>
      <c r="BF21" s="11" t="n">
        <v>0</v>
      </c>
      <c r="BG21" s="11" t="n">
        <v>0</v>
      </c>
      <c r="BH21" s="11" t="n">
        <v>0</v>
      </c>
      <c r="BI21" s="11" t="n">
        <v>0</v>
      </c>
      <c r="BJ21" s="11" t="n">
        <v>0</v>
      </c>
      <c r="BK21" s="11" t="n">
        <v>0</v>
      </c>
      <c r="BL21" s="11" t="n">
        <v>15</v>
      </c>
      <c r="BM21" s="11" t="n">
        <v>0</v>
      </c>
      <c r="BN21" s="11" t="n">
        <v>0</v>
      </c>
      <c r="BO21" s="11" t="n">
        <v>0</v>
      </c>
      <c r="BP21" s="11" t="n">
        <v>0</v>
      </c>
      <c r="BQ21" s="11" t="n">
        <v>0</v>
      </c>
      <c r="BR21" s="11" t="n">
        <v>0</v>
      </c>
      <c r="BS21" s="11" t="n">
        <v>0</v>
      </c>
      <c r="BT21" s="11" t="n">
        <v>0</v>
      </c>
      <c r="BU21" s="11" t="n">
        <v>0</v>
      </c>
      <c r="BV21" s="11" t="n">
        <v>0</v>
      </c>
      <c r="BW21" s="11" t="n">
        <v>0</v>
      </c>
      <c r="BX21" s="11" t="n">
        <v>0</v>
      </c>
      <c r="BY21" s="11" t="n">
        <v>0</v>
      </c>
      <c r="BZ21" s="11" t="n">
        <v>0</v>
      </c>
      <c r="CA21" s="11" t="n">
        <v>0</v>
      </c>
      <c r="CB21" s="11" t="n">
        <v>0</v>
      </c>
      <c r="CC21" s="11" t="n">
        <v>0</v>
      </c>
      <c r="CD21" s="11" t="n">
        <v>0</v>
      </c>
      <c r="CE21" s="11" t="n">
        <v>0</v>
      </c>
    </row>
    <row r="22">
      <c r="A22" s="14" t="inlineStr">
        <is>
          <t>2025-08-04</t>
        </is>
      </c>
      <c r="B22" s="8" t="n">
        <v>0</v>
      </c>
      <c r="C22" s="8" t="n">
        <v>0</v>
      </c>
      <c r="D22" s="8" t="n">
        <v>0</v>
      </c>
      <c r="E22" s="8" t="n">
        <v>1</v>
      </c>
      <c r="F22" s="8" t="n">
        <v>5</v>
      </c>
      <c r="G22" s="8" t="n">
        <v>0</v>
      </c>
      <c r="H22" s="8" t="n">
        <v>2</v>
      </c>
      <c r="I22" s="8" t="n">
        <v>0</v>
      </c>
      <c r="J22" s="8" t="n">
        <v>0</v>
      </c>
      <c r="K22" s="8" t="n">
        <v>2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6</v>
      </c>
      <c r="Q22" s="8" t="n">
        <v>0</v>
      </c>
      <c r="R22" s="8" t="n">
        <v>10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16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7</v>
      </c>
      <c r="AN22" s="8" t="n">
        <v>0</v>
      </c>
      <c r="AO22" s="8" t="n">
        <v>0</v>
      </c>
      <c r="AP22" s="8" t="n">
        <v>0</v>
      </c>
      <c r="AQ22" s="8" t="n">
        <v>0</v>
      </c>
      <c r="AR22" s="8" t="n">
        <v>0</v>
      </c>
      <c r="AS22" s="8" t="n">
        <v>0</v>
      </c>
      <c r="AT22" s="8" t="n">
        <v>0</v>
      </c>
      <c r="AU22" s="8" t="n">
        <v>0</v>
      </c>
      <c r="AV22" s="8" t="n">
        <v>0</v>
      </c>
      <c r="AW22" s="8" t="n">
        <v>0</v>
      </c>
      <c r="AX22" s="8" t="n">
        <v>0</v>
      </c>
      <c r="AY22" s="8" t="n">
        <v>0</v>
      </c>
      <c r="AZ22" s="8" t="n">
        <v>0</v>
      </c>
      <c r="BA22" s="8" t="n">
        <v>0</v>
      </c>
      <c r="BB22" s="8" t="n">
        <v>0</v>
      </c>
      <c r="BC22" s="8" t="n">
        <v>0</v>
      </c>
      <c r="BD22" s="8" t="n">
        <v>0</v>
      </c>
      <c r="BE22" s="8" t="n">
        <v>0</v>
      </c>
      <c r="BF22" s="8" t="n">
        <v>0</v>
      </c>
      <c r="BG22" s="8" t="n">
        <v>0</v>
      </c>
      <c r="BH22" s="8" t="n">
        <v>0</v>
      </c>
      <c r="BI22" s="8" t="n">
        <v>0</v>
      </c>
      <c r="BJ22" s="8" t="n">
        <v>0</v>
      </c>
      <c r="BK22" s="8" t="n">
        <v>0</v>
      </c>
      <c r="BL22" s="8" t="n">
        <v>18</v>
      </c>
      <c r="BM22" s="8" t="n">
        <v>0</v>
      </c>
      <c r="BN22" s="8" t="n">
        <v>0</v>
      </c>
      <c r="BO22" s="8" t="n">
        <v>0</v>
      </c>
      <c r="BP22" s="8" t="n">
        <v>0</v>
      </c>
      <c r="BQ22" s="8" t="n">
        <v>0</v>
      </c>
      <c r="BR22" s="8" t="n">
        <v>0</v>
      </c>
      <c r="BS22" s="8" t="n">
        <v>0</v>
      </c>
      <c r="BT22" s="8" t="n">
        <v>0</v>
      </c>
      <c r="BU22" s="8" t="n">
        <v>0</v>
      </c>
      <c r="BV22" s="8" t="n">
        <v>0</v>
      </c>
      <c r="BW22" s="8" t="n">
        <v>0</v>
      </c>
      <c r="BX22" s="8" t="n">
        <v>0</v>
      </c>
      <c r="BY22" s="8" t="n">
        <v>0</v>
      </c>
      <c r="BZ22" s="8" t="n">
        <v>0</v>
      </c>
      <c r="CA22" s="8" t="n">
        <v>0</v>
      </c>
      <c r="CB22" s="8" t="n">
        <v>0</v>
      </c>
      <c r="CC22" s="8" t="n">
        <v>0</v>
      </c>
      <c r="CD22" s="8" t="n">
        <v>0</v>
      </c>
      <c r="CE22" s="8" t="n">
        <v>0</v>
      </c>
    </row>
    <row r="23">
      <c r="A23" s="15" t="inlineStr">
        <is>
          <t>2025-08-05</t>
        </is>
      </c>
      <c r="B23" s="11" t="n">
        <v>0</v>
      </c>
      <c r="C23" s="11" t="n">
        <v>0</v>
      </c>
      <c r="D23" s="11" t="n">
        <v>0</v>
      </c>
      <c r="E23" s="11" t="n">
        <v>1</v>
      </c>
      <c r="F23" s="11" t="n">
        <v>5</v>
      </c>
      <c r="G23" s="11" t="n">
        <v>0</v>
      </c>
      <c r="H23" s="11" t="n">
        <v>2</v>
      </c>
      <c r="I23" s="11" t="n">
        <v>0</v>
      </c>
      <c r="J23" s="11" t="n">
        <v>0</v>
      </c>
      <c r="K23" s="11" t="n">
        <v>2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6</v>
      </c>
      <c r="Q23" s="11" t="n">
        <v>0</v>
      </c>
      <c r="R23" s="11" t="n">
        <v>10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11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  <c r="AD23" s="11" t="n">
        <v>0</v>
      </c>
      <c r="AE23" s="11" t="n">
        <v>0</v>
      </c>
      <c r="AF23" s="11" t="n">
        <v>16</v>
      </c>
      <c r="AG23" s="11" t="n">
        <v>0</v>
      </c>
      <c r="AH23" s="11" t="n">
        <v>0</v>
      </c>
      <c r="AI23" s="11" t="n">
        <v>0</v>
      </c>
      <c r="AJ23" s="11" t="n">
        <v>0</v>
      </c>
      <c r="AK23" s="11" t="n">
        <v>0</v>
      </c>
      <c r="AL23" s="11" t="n">
        <v>0</v>
      </c>
      <c r="AM23" s="11" t="n">
        <v>7</v>
      </c>
      <c r="AN23" s="11" t="n">
        <v>0</v>
      </c>
      <c r="AO23" s="11" t="n">
        <v>0</v>
      </c>
      <c r="AP23" s="11" t="n">
        <v>0</v>
      </c>
      <c r="AQ23" s="11" t="n">
        <v>0</v>
      </c>
      <c r="AR23" s="11" t="n">
        <v>0</v>
      </c>
      <c r="AS23" s="11" t="n">
        <v>0</v>
      </c>
      <c r="AT23" s="11" t="n">
        <v>0</v>
      </c>
      <c r="AU23" s="11" t="n">
        <v>0</v>
      </c>
      <c r="AV23" s="11" t="n">
        <v>0</v>
      </c>
      <c r="AW23" s="11" t="n">
        <v>0</v>
      </c>
      <c r="AX23" s="11" t="n">
        <v>0</v>
      </c>
      <c r="AY23" s="11" t="n">
        <v>0</v>
      </c>
      <c r="AZ23" s="11" t="n">
        <v>0</v>
      </c>
      <c r="BA23" s="11" t="n">
        <v>0</v>
      </c>
      <c r="BB23" s="11" t="n">
        <v>0</v>
      </c>
      <c r="BC23" s="11" t="n">
        <v>0</v>
      </c>
      <c r="BD23" s="11" t="n">
        <v>0</v>
      </c>
      <c r="BE23" s="11" t="n">
        <v>0</v>
      </c>
      <c r="BF23" s="11" t="n">
        <v>0</v>
      </c>
      <c r="BG23" s="11" t="n">
        <v>0</v>
      </c>
      <c r="BH23" s="11" t="n">
        <v>0</v>
      </c>
      <c r="BI23" s="11" t="n">
        <v>0</v>
      </c>
      <c r="BJ23" s="11" t="n">
        <v>0</v>
      </c>
      <c r="BK23" s="11" t="n">
        <v>0</v>
      </c>
      <c r="BL23" s="11" t="n">
        <v>18</v>
      </c>
      <c r="BM23" s="11" t="n">
        <v>0</v>
      </c>
      <c r="BN23" s="11" t="n">
        <v>0</v>
      </c>
      <c r="BO23" s="11" t="n">
        <v>0</v>
      </c>
      <c r="BP23" s="11" t="n">
        <v>0</v>
      </c>
      <c r="BQ23" s="11" t="n">
        <v>0</v>
      </c>
      <c r="BR23" s="11" t="n">
        <v>0</v>
      </c>
      <c r="BS23" s="11" t="n">
        <v>0</v>
      </c>
      <c r="BT23" s="11" t="n">
        <v>0</v>
      </c>
      <c r="BU23" s="11" t="n">
        <v>0</v>
      </c>
      <c r="BV23" s="11" t="n">
        <v>0</v>
      </c>
      <c r="BW23" s="11" t="n">
        <v>0</v>
      </c>
      <c r="BX23" s="11" t="n">
        <v>0</v>
      </c>
      <c r="BY23" s="11" t="n">
        <v>0</v>
      </c>
      <c r="BZ23" s="11" t="n">
        <v>0</v>
      </c>
      <c r="CA23" s="11" t="n">
        <v>0</v>
      </c>
      <c r="CB23" s="11" t="n">
        <v>0</v>
      </c>
      <c r="CC23" s="11" t="n">
        <v>0</v>
      </c>
      <c r="CD23" s="11" t="n">
        <v>0</v>
      </c>
      <c r="CE23" s="11" t="n">
        <v>0</v>
      </c>
    </row>
    <row r="24">
      <c r="A24" s="14" t="inlineStr">
        <is>
          <t>2025-08-06</t>
        </is>
      </c>
      <c r="B24" s="8" t="n">
        <v>0</v>
      </c>
      <c r="C24" s="8" t="n">
        <v>0</v>
      </c>
      <c r="D24" s="8" t="n">
        <v>0</v>
      </c>
      <c r="E24" s="8" t="n">
        <v>1</v>
      </c>
      <c r="F24" s="8" t="n">
        <v>5</v>
      </c>
      <c r="G24" s="8" t="n">
        <v>0</v>
      </c>
      <c r="H24" s="8" t="n">
        <v>2</v>
      </c>
      <c r="I24" s="8" t="n">
        <v>0</v>
      </c>
      <c r="J24" s="8" t="n">
        <v>0</v>
      </c>
      <c r="K24" s="8" t="n">
        <v>2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6</v>
      </c>
      <c r="Q24" s="8" t="n">
        <v>0</v>
      </c>
      <c r="R24" s="8" t="n">
        <v>10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16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7</v>
      </c>
      <c r="AN24" s="8" t="n">
        <v>0</v>
      </c>
      <c r="AO24" s="8" t="n">
        <v>0</v>
      </c>
      <c r="AP24" s="8" t="n">
        <v>0</v>
      </c>
      <c r="AQ24" s="8" t="n">
        <v>0</v>
      </c>
      <c r="AR24" s="8" t="n">
        <v>0</v>
      </c>
      <c r="AS24" s="8" t="n">
        <v>0</v>
      </c>
      <c r="AT24" s="8" t="n">
        <v>0</v>
      </c>
      <c r="AU24" s="8" t="n">
        <v>0</v>
      </c>
      <c r="AV24" s="8" t="n">
        <v>0</v>
      </c>
      <c r="AW24" s="8" t="n">
        <v>0</v>
      </c>
      <c r="AX24" s="8" t="n">
        <v>0</v>
      </c>
      <c r="AY24" s="8" t="n">
        <v>0</v>
      </c>
      <c r="AZ24" s="8" t="n">
        <v>0</v>
      </c>
      <c r="BA24" s="8" t="n">
        <v>0</v>
      </c>
      <c r="BB24" s="8" t="n">
        <v>0</v>
      </c>
      <c r="BC24" s="8" t="n">
        <v>0</v>
      </c>
      <c r="BD24" s="8" t="n">
        <v>0</v>
      </c>
      <c r="BE24" s="8" t="n">
        <v>0</v>
      </c>
      <c r="BF24" s="8" t="n">
        <v>0</v>
      </c>
      <c r="BG24" s="8" t="n">
        <v>0</v>
      </c>
      <c r="BH24" s="8" t="n">
        <v>0</v>
      </c>
      <c r="BI24" s="8" t="n">
        <v>0</v>
      </c>
      <c r="BJ24" s="8" t="n">
        <v>0</v>
      </c>
      <c r="BK24" s="8" t="n">
        <v>0</v>
      </c>
      <c r="BL24" s="8" t="n">
        <v>18</v>
      </c>
      <c r="BM24" s="8" t="n">
        <v>0</v>
      </c>
      <c r="BN24" s="8" t="n">
        <v>0</v>
      </c>
      <c r="BO24" s="8" t="n">
        <v>0</v>
      </c>
      <c r="BP24" s="8" t="n">
        <v>0</v>
      </c>
      <c r="BQ24" s="8" t="n">
        <v>0</v>
      </c>
      <c r="BR24" s="8" t="n">
        <v>0</v>
      </c>
      <c r="BS24" s="8" t="n">
        <v>0</v>
      </c>
      <c r="BT24" s="8" t="n">
        <v>0</v>
      </c>
      <c r="BU24" s="8" t="n">
        <v>0</v>
      </c>
      <c r="BV24" s="8" t="n">
        <v>0</v>
      </c>
      <c r="BW24" s="8" t="n">
        <v>0</v>
      </c>
      <c r="BX24" s="8" t="n">
        <v>0</v>
      </c>
      <c r="BY24" s="8" t="n">
        <v>0</v>
      </c>
      <c r="BZ24" s="8" t="n">
        <v>0</v>
      </c>
      <c r="CA24" s="8" t="n">
        <v>0</v>
      </c>
      <c r="CB24" s="8" t="n">
        <v>0</v>
      </c>
      <c r="CC24" s="8" t="n">
        <v>0</v>
      </c>
      <c r="CD24" s="8" t="n">
        <v>0</v>
      </c>
      <c r="CE24" s="8" t="n">
        <v>0</v>
      </c>
    </row>
    <row r="25">
      <c r="A25" s="15" t="inlineStr">
        <is>
          <t>2025-08-07</t>
        </is>
      </c>
      <c r="B25" s="11" t="n">
        <v>0</v>
      </c>
      <c r="C25" s="11" t="n">
        <v>0</v>
      </c>
      <c r="D25" s="11" t="n">
        <v>0</v>
      </c>
      <c r="E25" s="11" t="n">
        <v>1</v>
      </c>
      <c r="F25" s="11" t="n">
        <v>5</v>
      </c>
      <c r="G25" s="11" t="n">
        <v>0</v>
      </c>
      <c r="H25" s="11" t="n">
        <v>2</v>
      </c>
      <c r="I25" s="11" t="n">
        <v>0</v>
      </c>
      <c r="J25" s="11" t="n">
        <v>0</v>
      </c>
      <c r="K25" s="11" t="n">
        <v>2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6</v>
      </c>
      <c r="Q25" s="11" t="n">
        <v>0</v>
      </c>
      <c r="R25" s="11" t="n">
        <v>10</v>
      </c>
      <c r="S25" s="11" t="n">
        <v>0</v>
      </c>
      <c r="T25" s="11" t="n">
        <v>0</v>
      </c>
      <c r="U25" s="11" t="n">
        <v>0</v>
      </c>
      <c r="V25" s="11" t="n">
        <v>0</v>
      </c>
      <c r="W25" s="11" t="n">
        <v>0</v>
      </c>
      <c r="X25" s="11" t="n">
        <v>0</v>
      </c>
      <c r="Y25" s="11" t="n">
        <v>0</v>
      </c>
      <c r="Z25" s="11" t="n">
        <v>0</v>
      </c>
      <c r="AA25" s="11" t="n">
        <v>0</v>
      </c>
      <c r="AB25" s="11" t="n">
        <v>0</v>
      </c>
      <c r="AC25" s="11" t="n">
        <v>0</v>
      </c>
      <c r="AD25" s="11" t="n">
        <v>0</v>
      </c>
      <c r="AE25" s="11" t="n">
        <v>0</v>
      </c>
      <c r="AF25" s="11" t="n">
        <v>16</v>
      </c>
      <c r="AG25" s="11" t="n">
        <v>0</v>
      </c>
      <c r="AH25" s="11" t="n">
        <v>0</v>
      </c>
      <c r="AI25" s="11" t="n">
        <v>0</v>
      </c>
      <c r="AJ25" s="11" t="n">
        <v>0</v>
      </c>
      <c r="AK25" s="11" t="n">
        <v>0</v>
      </c>
      <c r="AL25" s="11" t="n">
        <v>0</v>
      </c>
      <c r="AM25" s="11" t="n">
        <v>7</v>
      </c>
      <c r="AN25" s="11" t="n">
        <v>0</v>
      </c>
      <c r="AO25" s="11" t="n">
        <v>0</v>
      </c>
      <c r="AP25" s="11" t="n">
        <v>0</v>
      </c>
      <c r="AQ25" s="11" t="n">
        <v>0</v>
      </c>
      <c r="AR25" s="11" t="n">
        <v>0</v>
      </c>
      <c r="AS25" s="11" t="n">
        <v>0</v>
      </c>
      <c r="AT25" s="11" t="n">
        <v>0</v>
      </c>
      <c r="AU25" s="11" t="n">
        <v>0</v>
      </c>
      <c r="AV25" s="11" t="n">
        <v>0</v>
      </c>
      <c r="AW25" s="11" t="n">
        <v>0</v>
      </c>
      <c r="AX25" s="11" t="n">
        <v>0</v>
      </c>
      <c r="AY25" s="11" t="n">
        <v>0</v>
      </c>
      <c r="AZ25" s="11" t="n">
        <v>0</v>
      </c>
      <c r="BA25" s="11" t="n">
        <v>0</v>
      </c>
      <c r="BB25" s="11" t="n">
        <v>0</v>
      </c>
      <c r="BC25" s="11" t="n">
        <v>0</v>
      </c>
      <c r="BD25" s="11" t="n">
        <v>0</v>
      </c>
      <c r="BE25" s="11" t="n">
        <v>0</v>
      </c>
      <c r="BF25" s="11" t="n">
        <v>0</v>
      </c>
      <c r="BG25" s="11" t="n">
        <v>0</v>
      </c>
      <c r="BH25" s="11" t="n">
        <v>0</v>
      </c>
      <c r="BI25" s="11" t="n">
        <v>0</v>
      </c>
      <c r="BJ25" s="11" t="n">
        <v>0</v>
      </c>
      <c r="BK25" s="11" t="n">
        <v>0</v>
      </c>
      <c r="BL25" s="11" t="n">
        <v>18</v>
      </c>
      <c r="BM25" s="11" t="n">
        <v>0</v>
      </c>
      <c r="BN25" s="11" t="n">
        <v>0</v>
      </c>
      <c r="BO25" s="11" t="n">
        <v>0</v>
      </c>
      <c r="BP25" s="11" t="n">
        <v>0</v>
      </c>
      <c r="BQ25" s="11" t="n">
        <v>0</v>
      </c>
      <c r="BR25" s="11" t="n">
        <v>0</v>
      </c>
      <c r="BS25" s="11" t="n">
        <v>0</v>
      </c>
      <c r="BT25" s="11" t="n">
        <v>0</v>
      </c>
      <c r="BU25" s="11" t="n">
        <v>0</v>
      </c>
      <c r="BV25" s="11" t="n">
        <v>0</v>
      </c>
      <c r="BW25" s="11" t="n">
        <v>0</v>
      </c>
      <c r="BX25" s="11" t="n">
        <v>0</v>
      </c>
      <c r="BY25" s="11" t="n">
        <v>0</v>
      </c>
      <c r="BZ25" s="11" t="n">
        <v>0</v>
      </c>
      <c r="CA25" s="11" t="n">
        <v>0</v>
      </c>
      <c r="CB25" s="11" t="n">
        <v>0</v>
      </c>
      <c r="CC25" s="11" t="n">
        <v>0</v>
      </c>
      <c r="CD25" s="11" t="n">
        <v>0</v>
      </c>
      <c r="CE25" s="11" t="n">
        <v>0</v>
      </c>
    </row>
    <row r="26">
      <c r="A26" s="14" t="inlineStr">
        <is>
          <t>2025-08-08</t>
        </is>
      </c>
      <c r="B26" s="8" t="n">
        <v>0</v>
      </c>
      <c r="C26" s="8" t="n">
        <v>0</v>
      </c>
      <c r="D26" s="8" t="n">
        <v>0</v>
      </c>
      <c r="E26" s="8" t="n">
        <v>1</v>
      </c>
      <c r="F26" s="8" t="n">
        <v>5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2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6</v>
      </c>
      <c r="Q26" s="8" t="n">
        <v>0</v>
      </c>
      <c r="R26" s="8" t="n">
        <v>10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16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7</v>
      </c>
      <c r="AN26" s="8" t="n">
        <v>0</v>
      </c>
      <c r="AO26" s="8" t="n">
        <v>0</v>
      </c>
      <c r="AP26" s="8" t="n">
        <v>0</v>
      </c>
      <c r="AQ26" s="8" t="n">
        <v>0</v>
      </c>
      <c r="AR26" s="8" t="n">
        <v>0</v>
      </c>
      <c r="AS26" s="8" t="n">
        <v>0</v>
      </c>
      <c r="AT26" s="8" t="n">
        <v>0</v>
      </c>
      <c r="AU26" s="8" t="n">
        <v>0</v>
      </c>
      <c r="AV26" s="8" t="n">
        <v>0</v>
      </c>
      <c r="AW26" s="8" t="n">
        <v>0</v>
      </c>
      <c r="AX26" s="8" t="n">
        <v>0</v>
      </c>
      <c r="AY26" s="8" t="n">
        <v>0</v>
      </c>
      <c r="AZ26" s="8" t="n">
        <v>0</v>
      </c>
      <c r="BA26" s="8" t="n">
        <v>0</v>
      </c>
      <c r="BB26" s="8" t="n">
        <v>0</v>
      </c>
      <c r="BC26" s="8" t="n">
        <v>0</v>
      </c>
      <c r="BD26" s="8" t="n">
        <v>0</v>
      </c>
      <c r="BE26" s="8" t="n">
        <v>0</v>
      </c>
      <c r="BF26" s="8" t="n">
        <v>0</v>
      </c>
      <c r="BG26" s="8" t="n">
        <v>0</v>
      </c>
      <c r="BH26" s="8" t="n">
        <v>0</v>
      </c>
      <c r="BI26" s="8" t="n">
        <v>0</v>
      </c>
      <c r="BJ26" s="8" t="n">
        <v>0</v>
      </c>
      <c r="BK26" s="8" t="n">
        <v>0</v>
      </c>
      <c r="BL26" s="8" t="n">
        <v>18</v>
      </c>
      <c r="BM26" s="8" t="n">
        <v>0</v>
      </c>
      <c r="BN26" s="8" t="n">
        <v>0</v>
      </c>
      <c r="BO26" s="8" t="n">
        <v>0</v>
      </c>
      <c r="BP26" s="8" t="n">
        <v>0</v>
      </c>
      <c r="BQ26" s="8" t="n">
        <v>0</v>
      </c>
      <c r="BR26" s="8" t="n">
        <v>0</v>
      </c>
      <c r="BS26" s="8" t="n">
        <v>0</v>
      </c>
      <c r="BT26" s="8" t="n">
        <v>0</v>
      </c>
      <c r="BU26" s="8" t="n">
        <v>0</v>
      </c>
      <c r="BV26" s="8" t="n">
        <v>0</v>
      </c>
      <c r="BW26" s="8" t="n">
        <v>0</v>
      </c>
      <c r="BX26" s="8" t="n">
        <v>0</v>
      </c>
      <c r="BY26" s="8" t="n">
        <v>0</v>
      </c>
      <c r="BZ26" s="8" t="n">
        <v>0</v>
      </c>
      <c r="CA26" s="8" t="n">
        <v>0</v>
      </c>
      <c r="CB26" s="8" t="n">
        <v>0</v>
      </c>
      <c r="CC26" s="8" t="n">
        <v>0</v>
      </c>
      <c r="CD26" s="8" t="n">
        <v>0</v>
      </c>
      <c r="CE26" s="8" t="n">
        <v>0</v>
      </c>
    </row>
    <row r="27">
      <c r="A27" s="15" t="inlineStr">
        <is>
          <t>2025-08-11</t>
        </is>
      </c>
      <c r="B27" s="11" t="n">
        <v>0</v>
      </c>
      <c r="C27" s="11" t="n">
        <v>0</v>
      </c>
      <c r="D27" s="11" t="n">
        <v>0</v>
      </c>
      <c r="E27" s="11" t="n">
        <v>1</v>
      </c>
      <c r="F27" s="11" t="n">
        <v>5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2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6</v>
      </c>
      <c r="Q27" s="11" t="n">
        <v>0</v>
      </c>
      <c r="R27" s="11" t="n">
        <v>10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0</v>
      </c>
      <c r="X27" s="11" t="n">
        <v>0</v>
      </c>
      <c r="Y27" s="11" t="n">
        <v>0</v>
      </c>
      <c r="Z27" s="11" t="n">
        <v>0</v>
      </c>
      <c r="AA27" s="11" t="n">
        <v>0</v>
      </c>
      <c r="AB27" s="11" t="n">
        <v>0</v>
      </c>
      <c r="AC27" s="11" t="n">
        <v>0</v>
      </c>
      <c r="AD27" s="11" t="n">
        <v>0</v>
      </c>
      <c r="AE27" s="11" t="n">
        <v>0</v>
      </c>
      <c r="AF27" s="11" t="n">
        <v>16</v>
      </c>
      <c r="AG27" s="11" t="n">
        <v>0</v>
      </c>
      <c r="AH27" s="11" t="n">
        <v>0</v>
      </c>
      <c r="AI27" s="11" t="n">
        <v>0</v>
      </c>
      <c r="AJ27" s="11" t="n">
        <v>0</v>
      </c>
      <c r="AK27" s="11" t="n">
        <v>0</v>
      </c>
      <c r="AL27" s="11" t="n">
        <v>0</v>
      </c>
      <c r="AM27" s="11" t="n">
        <v>7</v>
      </c>
      <c r="AN27" s="11" t="n">
        <v>0</v>
      </c>
      <c r="AO27" s="11" t="n">
        <v>0</v>
      </c>
      <c r="AP27" s="11" t="n">
        <v>0</v>
      </c>
      <c r="AQ27" s="11" t="n">
        <v>0</v>
      </c>
      <c r="AR27" s="11" t="n">
        <v>0</v>
      </c>
      <c r="AS27" s="11" t="n">
        <v>0</v>
      </c>
      <c r="AT27" s="11" t="n">
        <v>0</v>
      </c>
      <c r="AU27" s="11" t="n">
        <v>0</v>
      </c>
      <c r="AV27" s="11" t="n">
        <v>0</v>
      </c>
      <c r="AW27" s="11" t="n">
        <v>0</v>
      </c>
      <c r="AX27" s="11" t="n">
        <v>0</v>
      </c>
      <c r="AY27" s="11" t="n">
        <v>0</v>
      </c>
      <c r="AZ27" s="11" t="n">
        <v>0</v>
      </c>
      <c r="BA27" s="11" t="n">
        <v>0</v>
      </c>
      <c r="BB27" s="11" t="n">
        <v>0</v>
      </c>
      <c r="BC27" s="11" t="n">
        <v>0</v>
      </c>
      <c r="BD27" s="11" t="n">
        <v>0</v>
      </c>
      <c r="BE27" s="11" t="n">
        <v>0</v>
      </c>
      <c r="BF27" s="11" t="n">
        <v>0</v>
      </c>
      <c r="BG27" s="11" t="n">
        <v>0</v>
      </c>
      <c r="BH27" s="11" t="n">
        <v>0</v>
      </c>
      <c r="BI27" s="11" t="n">
        <v>0</v>
      </c>
      <c r="BJ27" s="11" t="n">
        <v>0</v>
      </c>
      <c r="BK27" s="11" t="n">
        <v>0</v>
      </c>
      <c r="BL27" s="11" t="n">
        <v>18</v>
      </c>
      <c r="BM27" s="11" t="n">
        <v>0</v>
      </c>
      <c r="BN27" s="11" t="n">
        <v>0</v>
      </c>
      <c r="BO27" s="11" t="n">
        <v>0</v>
      </c>
      <c r="BP27" s="11" t="n">
        <v>0</v>
      </c>
      <c r="BQ27" s="11" t="n">
        <v>0</v>
      </c>
      <c r="BR27" s="11" t="n">
        <v>0</v>
      </c>
      <c r="BS27" s="11" t="n">
        <v>0</v>
      </c>
      <c r="BT27" s="11" t="n">
        <v>0</v>
      </c>
      <c r="BU27" s="11" t="n">
        <v>0</v>
      </c>
      <c r="BV27" s="11" t="n">
        <v>0</v>
      </c>
      <c r="BW27" s="11" t="n">
        <v>0</v>
      </c>
      <c r="BX27" s="11" t="n">
        <v>0</v>
      </c>
      <c r="BY27" s="11" t="n">
        <v>0</v>
      </c>
      <c r="BZ27" s="11" t="n">
        <v>0</v>
      </c>
      <c r="CA27" s="11" t="n">
        <v>0</v>
      </c>
      <c r="CB27" s="11" t="n">
        <v>0</v>
      </c>
      <c r="CC27" s="11" t="n">
        <v>0</v>
      </c>
      <c r="CD27" s="11" t="n">
        <v>0</v>
      </c>
      <c r="CE27" s="11" t="n">
        <v>0</v>
      </c>
    </row>
    <row r="28">
      <c r="A28" s="14" t="inlineStr">
        <is>
          <t>2025-08-12</t>
        </is>
      </c>
      <c r="B28" s="8" t="n">
        <v>0</v>
      </c>
      <c r="C28" s="8" t="n">
        <v>0</v>
      </c>
      <c r="D28" s="8" t="n">
        <v>0</v>
      </c>
      <c r="E28" s="8" t="n">
        <v>1</v>
      </c>
      <c r="F28" s="8" t="n">
        <v>5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2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6</v>
      </c>
      <c r="Q28" s="8" t="n">
        <v>0</v>
      </c>
      <c r="R28" s="8" t="n">
        <v>10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16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7</v>
      </c>
      <c r="AN28" s="8" t="n">
        <v>0</v>
      </c>
      <c r="AO28" s="8" t="n">
        <v>0</v>
      </c>
      <c r="AP28" s="8" t="n">
        <v>0</v>
      </c>
      <c r="AQ28" s="8" t="n">
        <v>0</v>
      </c>
      <c r="AR28" s="8" t="n">
        <v>0</v>
      </c>
      <c r="AS28" s="8" t="n">
        <v>0</v>
      </c>
      <c r="AT28" s="8" t="n">
        <v>0</v>
      </c>
      <c r="AU28" s="8" t="n">
        <v>0</v>
      </c>
      <c r="AV28" s="8" t="n">
        <v>0</v>
      </c>
      <c r="AW28" s="8" t="n">
        <v>0</v>
      </c>
      <c r="AX28" s="8" t="n">
        <v>0</v>
      </c>
      <c r="AY28" s="8" t="n">
        <v>0</v>
      </c>
      <c r="AZ28" s="8" t="n">
        <v>0</v>
      </c>
      <c r="BA28" s="8" t="n">
        <v>0</v>
      </c>
      <c r="BB28" s="8" t="n">
        <v>0</v>
      </c>
      <c r="BC28" s="8" t="n">
        <v>0</v>
      </c>
      <c r="BD28" s="8" t="n">
        <v>0</v>
      </c>
      <c r="BE28" s="8" t="n">
        <v>0</v>
      </c>
      <c r="BF28" s="8" t="n">
        <v>0</v>
      </c>
      <c r="BG28" s="8" t="n">
        <v>0</v>
      </c>
      <c r="BH28" s="8" t="n">
        <v>0</v>
      </c>
      <c r="BI28" s="8" t="n">
        <v>0</v>
      </c>
      <c r="BJ28" s="8" t="n">
        <v>0</v>
      </c>
      <c r="BK28" s="8" t="n">
        <v>0</v>
      </c>
      <c r="BL28" s="8" t="n">
        <v>18</v>
      </c>
      <c r="BM28" s="8" t="n">
        <v>0</v>
      </c>
      <c r="BN28" s="8" t="n">
        <v>0</v>
      </c>
      <c r="BO28" s="8" t="n">
        <v>0</v>
      </c>
      <c r="BP28" s="8" t="n">
        <v>0</v>
      </c>
      <c r="BQ28" s="8" t="n">
        <v>0</v>
      </c>
      <c r="BR28" s="8" t="n">
        <v>0</v>
      </c>
      <c r="BS28" s="8" t="n">
        <v>0</v>
      </c>
      <c r="BT28" s="8" t="n">
        <v>0</v>
      </c>
      <c r="BU28" s="8" t="n">
        <v>0</v>
      </c>
      <c r="BV28" s="8" t="n">
        <v>0</v>
      </c>
      <c r="BW28" s="8" t="n">
        <v>0</v>
      </c>
      <c r="BX28" s="8" t="n">
        <v>0</v>
      </c>
      <c r="BY28" s="8" t="n">
        <v>0</v>
      </c>
      <c r="BZ28" s="8" t="n">
        <v>0</v>
      </c>
      <c r="CA28" s="8" t="n">
        <v>0</v>
      </c>
      <c r="CB28" s="8" t="n">
        <v>0</v>
      </c>
      <c r="CC28" s="8" t="n">
        <v>0</v>
      </c>
      <c r="CD28" s="8" t="n">
        <v>0</v>
      </c>
      <c r="CE28" s="8" t="n">
        <v>0</v>
      </c>
    </row>
    <row r="29">
      <c r="A29" s="15" t="inlineStr">
        <is>
          <t>2025-08-13</t>
        </is>
      </c>
      <c r="B29" s="11" t="n">
        <v>0</v>
      </c>
      <c r="C29" s="11" t="n">
        <v>0</v>
      </c>
      <c r="D29" s="11" t="n">
        <v>0</v>
      </c>
      <c r="E29" s="11" t="n">
        <v>1</v>
      </c>
      <c r="F29" s="11" t="n">
        <v>5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2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6</v>
      </c>
      <c r="Q29" s="11" t="n">
        <v>0</v>
      </c>
      <c r="R29" s="11" t="n">
        <v>10</v>
      </c>
      <c r="S29" s="11" t="n">
        <v>0</v>
      </c>
      <c r="T29" s="11" t="n">
        <v>0</v>
      </c>
      <c r="U29" s="11" t="n">
        <v>0</v>
      </c>
      <c r="V29" s="11" t="n">
        <v>0</v>
      </c>
      <c r="W29" s="11" t="n">
        <v>0</v>
      </c>
      <c r="X29" s="11" t="n">
        <v>0</v>
      </c>
      <c r="Y29" s="11" t="n">
        <v>0</v>
      </c>
      <c r="Z29" s="11" t="n">
        <v>0</v>
      </c>
      <c r="AA29" s="11" t="n">
        <v>0</v>
      </c>
      <c r="AB29" s="11" t="n">
        <v>0</v>
      </c>
      <c r="AC29" s="11" t="n">
        <v>0</v>
      </c>
      <c r="AD29" s="11" t="n">
        <v>0</v>
      </c>
      <c r="AE29" s="11" t="n">
        <v>0</v>
      </c>
      <c r="AF29" s="11" t="n">
        <v>16</v>
      </c>
      <c r="AG29" s="11" t="n">
        <v>0</v>
      </c>
      <c r="AH29" s="11" t="n">
        <v>0</v>
      </c>
      <c r="AI29" s="11" t="n">
        <v>0</v>
      </c>
      <c r="AJ29" s="11" t="n">
        <v>0</v>
      </c>
      <c r="AK29" s="11" t="n">
        <v>0</v>
      </c>
      <c r="AL29" s="11" t="n">
        <v>0</v>
      </c>
      <c r="AM29" s="11" t="n">
        <v>7</v>
      </c>
      <c r="AN29" s="11" t="n">
        <v>0</v>
      </c>
      <c r="AO29" s="11" t="n">
        <v>0</v>
      </c>
      <c r="AP29" s="11" t="n">
        <v>0</v>
      </c>
      <c r="AQ29" s="11" t="n">
        <v>0</v>
      </c>
      <c r="AR29" s="11" t="n">
        <v>0</v>
      </c>
      <c r="AS29" s="11" t="n">
        <v>0</v>
      </c>
      <c r="AT29" s="11" t="n">
        <v>0</v>
      </c>
      <c r="AU29" s="11" t="n">
        <v>0</v>
      </c>
      <c r="AV29" s="11" t="n">
        <v>0</v>
      </c>
      <c r="AW29" s="11" t="n">
        <v>0</v>
      </c>
      <c r="AX29" s="11" t="n">
        <v>0</v>
      </c>
      <c r="AY29" s="11" t="n">
        <v>0</v>
      </c>
      <c r="AZ29" s="11" t="n">
        <v>0</v>
      </c>
      <c r="BA29" s="11" t="n">
        <v>0</v>
      </c>
      <c r="BB29" s="11" t="n">
        <v>0</v>
      </c>
      <c r="BC29" s="11" t="n">
        <v>0</v>
      </c>
      <c r="BD29" s="11" t="n">
        <v>0</v>
      </c>
      <c r="BE29" s="11" t="n">
        <v>0</v>
      </c>
      <c r="BF29" s="11" t="n">
        <v>0</v>
      </c>
      <c r="BG29" s="11" t="n">
        <v>0</v>
      </c>
      <c r="BH29" s="11" t="n">
        <v>0</v>
      </c>
      <c r="BI29" s="11" t="n">
        <v>0</v>
      </c>
      <c r="BJ29" s="11" t="n">
        <v>0</v>
      </c>
      <c r="BK29" s="11" t="n">
        <v>0</v>
      </c>
      <c r="BL29" s="11" t="n">
        <v>18</v>
      </c>
      <c r="BM29" s="11" t="n">
        <v>0</v>
      </c>
      <c r="BN29" s="11" t="n">
        <v>0</v>
      </c>
      <c r="BO29" s="11" t="n">
        <v>0</v>
      </c>
      <c r="BP29" s="11" t="n">
        <v>0</v>
      </c>
      <c r="BQ29" s="11" t="n">
        <v>0</v>
      </c>
      <c r="BR29" s="11" t="n">
        <v>0</v>
      </c>
      <c r="BS29" s="11" t="n">
        <v>0</v>
      </c>
      <c r="BT29" s="11" t="n">
        <v>0</v>
      </c>
      <c r="BU29" s="11" t="n">
        <v>0</v>
      </c>
      <c r="BV29" s="11" t="n">
        <v>0</v>
      </c>
      <c r="BW29" s="11" t="n">
        <v>0</v>
      </c>
      <c r="BX29" s="11" t="n">
        <v>0</v>
      </c>
      <c r="BY29" s="11" t="n">
        <v>0</v>
      </c>
      <c r="BZ29" s="11" t="n">
        <v>0</v>
      </c>
      <c r="CA29" s="11" t="n">
        <v>0</v>
      </c>
      <c r="CB29" s="11" t="n">
        <v>0</v>
      </c>
      <c r="CC29" s="11" t="n">
        <v>0</v>
      </c>
      <c r="CD29" s="11" t="n">
        <v>0</v>
      </c>
      <c r="CE29" s="11" t="n">
        <v>0</v>
      </c>
    </row>
    <row r="30">
      <c r="A30" s="14" t="inlineStr">
        <is>
          <t>2025-08-14</t>
        </is>
      </c>
      <c r="B30" s="8" t="n">
        <v>0</v>
      </c>
      <c r="C30" s="8" t="n">
        <v>0</v>
      </c>
      <c r="D30" s="8" t="n">
        <v>0</v>
      </c>
      <c r="E30" s="8" t="n">
        <v>1</v>
      </c>
      <c r="F30" s="8" t="n">
        <v>5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2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6</v>
      </c>
      <c r="Q30" s="8" t="n">
        <v>0</v>
      </c>
      <c r="R30" s="8" t="n">
        <v>10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16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7</v>
      </c>
      <c r="AN30" s="8" t="n">
        <v>0</v>
      </c>
      <c r="AO30" s="8" t="n">
        <v>0</v>
      </c>
      <c r="AP30" s="8" t="n">
        <v>0</v>
      </c>
      <c r="AQ30" s="8" t="n">
        <v>0</v>
      </c>
      <c r="AR30" s="8" t="n">
        <v>0</v>
      </c>
      <c r="AS30" s="8" t="n">
        <v>0</v>
      </c>
      <c r="AT30" s="8" t="n">
        <v>0</v>
      </c>
      <c r="AU30" s="8" t="n">
        <v>0</v>
      </c>
      <c r="AV30" s="8" t="n">
        <v>0</v>
      </c>
      <c r="AW30" s="8" t="n">
        <v>0</v>
      </c>
      <c r="AX30" s="8" t="n">
        <v>0</v>
      </c>
      <c r="AY30" s="8" t="n">
        <v>0</v>
      </c>
      <c r="AZ30" s="8" t="n">
        <v>0</v>
      </c>
      <c r="BA30" s="8" t="n">
        <v>0</v>
      </c>
      <c r="BB30" s="8" t="n">
        <v>0</v>
      </c>
      <c r="BC30" s="8" t="n">
        <v>0</v>
      </c>
      <c r="BD30" s="8" t="n">
        <v>0</v>
      </c>
      <c r="BE30" s="8" t="n">
        <v>0</v>
      </c>
      <c r="BF30" s="8" t="n">
        <v>0</v>
      </c>
      <c r="BG30" s="8" t="n">
        <v>0</v>
      </c>
      <c r="BH30" s="8" t="n">
        <v>0</v>
      </c>
      <c r="BI30" s="8" t="n">
        <v>0</v>
      </c>
      <c r="BJ30" s="8" t="n">
        <v>0</v>
      </c>
      <c r="BK30" s="8" t="n">
        <v>0</v>
      </c>
      <c r="BL30" s="8" t="n">
        <v>18</v>
      </c>
      <c r="BM30" s="8" t="n">
        <v>0</v>
      </c>
      <c r="BN30" s="8" t="n">
        <v>0</v>
      </c>
      <c r="BO30" s="8" t="n">
        <v>0</v>
      </c>
      <c r="BP30" s="8" t="n">
        <v>0</v>
      </c>
      <c r="BQ30" s="8" t="n">
        <v>0</v>
      </c>
      <c r="BR30" s="8" t="n">
        <v>0</v>
      </c>
      <c r="BS30" s="8" t="n">
        <v>0</v>
      </c>
      <c r="BT30" s="8" t="n">
        <v>0</v>
      </c>
      <c r="BU30" s="8" t="n">
        <v>0</v>
      </c>
      <c r="BV30" s="8" t="n">
        <v>0</v>
      </c>
      <c r="BW30" s="8" t="n">
        <v>0</v>
      </c>
      <c r="BX30" s="8" t="n">
        <v>0</v>
      </c>
      <c r="BY30" s="8" t="n">
        <v>0</v>
      </c>
      <c r="BZ30" s="8" t="n">
        <v>0</v>
      </c>
      <c r="CA30" s="8" t="n">
        <v>0</v>
      </c>
      <c r="CB30" s="8" t="n">
        <v>0</v>
      </c>
      <c r="CC30" s="8" t="n">
        <v>0</v>
      </c>
      <c r="CD30" s="8" t="n">
        <v>0</v>
      </c>
      <c r="CE30" s="8" t="n">
        <v>0</v>
      </c>
    </row>
    <row r="31">
      <c r="A31" s="15" t="inlineStr">
        <is>
          <t>2025-08-15</t>
        </is>
      </c>
      <c r="B31" s="11" t="n">
        <v>0</v>
      </c>
      <c r="C31" s="11" t="n">
        <v>0</v>
      </c>
      <c r="D31" s="11" t="n">
        <v>0</v>
      </c>
      <c r="E31" s="11" t="n">
        <v>1</v>
      </c>
      <c r="F31" s="11" t="n">
        <v>5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2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6</v>
      </c>
      <c r="Q31" s="11" t="n">
        <v>0</v>
      </c>
      <c r="R31" s="11" t="n">
        <v>10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  <c r="AE31" s="11" t="n">
        <v>0</v>
      </c>
      <c r="AF31" s="11" t="n">
        <v>16</v>
      </c>
      <c r="AG31" s="11" t="n">
        <v>0</v>
      </c>
      <c r="AH31" s="11" t="n">
        <v>0</v>
      </c>
      <c r="AI31" s="11" t="n">
        <v>0</v>
      </c>
      <c r="AJ31" s="11" t="n">
        <v>0</v>
      </c>
      <c r="AK31" s="11" t="n">
        <v>0</v>
      </c>
      <c r="AL31" s="11" t="n">
        <v>0</v>
      </c>
      <c r="AM31" s="11" t="n">
        <v>7</v>
      </c>
      <c r="AN31" s="11" t="n">
        <v>0</v>
      </c>
      <c r="AO31" s="11" t="n">
        <v>0</v>
      </c>
      <c r="AP31" s="11" t="n">
        <v>0</v>
      </c>
      <c r="AQ31" s="11" t="n">
        <v>0</v>
      </c>
      <c r="AR31" s="11" t="n">
        <v>0</v>
      </c>
      <c r="AS31" s="11" t="n">
        <v>0</v>
      </c>
      <c r="AT31" s="11" t="n">
        <v>0</v>
      </c>
      <c r="AU31" s="11" t="n">
        <v>0</v>
      </c>
      <c r="AV31" s="11" t="n">
        <v>0</v>
      </c>
      <c r="AW31" s="11" t="n">
        <v>0</v>
      </c>
      <c r="AX31" s="11" t="n">
        <v>0</v>
      </c>
      <c r="AY31" s="11" t="n">
        <v>0</v>
      </c>
      <c r="AZ31" s="11" t="n">
        <v>0</v>
      </c>
      <c r="BA31" s="11" t="n">
        <v>0</v>
      </c>
      <c r="BB31" s="11" t="n">
        <v>0</v>
      </c>
      <c r="BC31" s="11" t="n">
        <v>0</v>
      </c>
      <c r="BD31" s="11" t="n">
        <v>0</v>
      </c>
      <c r="BE31" s="11" t="n">
        <v>0</v>
      </c>
      <c r="BF31" s="11" t="n">
        <v>0</v>
      </c>
      <c r="BG31" s="11" t="n">
        <v>0</v>
      </c>
      <c r="BH31" s="11" t="n">
        <v>0</v>
      </c>
      <c r="BI31" s="11" t="n">
        <v>0</v>
      </c>
      <c r="BJ31" s="11" t="n">
        <v>0</v>
      </c>
      <c r="BK31" s="11" t="n">
        <v>0</v>
      </c>
      <c r="BL31" s="11" t="n">
        <v>18</v>
      </c>
      <c r="BM31" s="11" t="n">
        <v>0</v>
      </c>
      <c r="BN31" s="11" t="n">
        <v>0</v>
      </c>
      <c r="BO31" s="11" t="n">
        <v>0</v>
      </c>
      <c r="BP31" s="11" t="n">
        <v>0</v>
      </c>
      <c r="BQ31" s="11" t="n">
        <v>0</v>
      </c>
      <c r="BR31" s="11" t="n">
        <v>0</v>
      </c>
      <c r="BS31" s="11" t="n">
        <v>0</v>
      </c>
      <c r="BT31" s="11" t="n">
        <v>0</v>
      </c>
      <c r="BU31" s="11" t="n">
        <v>0</v>
      </c>
      <c r="BV31" s="11" t="n">
        <v>0</v>
      </c>
      <c r="BW31" s="11" t="n">
        <v>0</v>
      </c>
      <c r="BX31" s="11" t="n">
        <v>0</v>
      </c>
      <c r="BY31" s="11" t="n">
        <v>0</v>
      </c>
      <c r="BZ31" s="11" t="n">
        <v>0</v>
      </c>
      <c r="CA31" s="11" t="n">
        <v>0</v>
      </c>
      <c r="CB31" s="11" t="n">
        <v>0</v>
      </c>
      <c r="CC31" s="11" t="n">
        <v>0</v>
      </c>
      <c r="CD31" s="11" t="n">
        <v>0</v>
      </c>
      <c r="CE31" s="11" t="n">
        <v>0</v>
      </c>
    </row>
    <row r="32">
      <c r="A32" s="14" t="inlineStr">
        <is>
          <t>2025-08-18</t>
        </is>
      </c>
      <c r="B32" s="8" t="n">
        <v>0</v>
      </c>
      <c r="C32" s="8" t="n">
        <v>0</v>
      </c>
      <c r="D32" s="8" t="n">
        <v>0</v>
      </c>
      <c r="E32" s="8" t="n">
        <v>1</v>
      </c>
      <c r="F32" s="8" t="n">
        <v>5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2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6</v>
      </c>
      <c r="Q32" s="8" t="n">
        <v>0</v>
      </c>
      <c r="R32" s="8" t="n">
        <v>10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16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7</v>
      </c>
      <c r="AN32" s="8" t="n">
        <v>0</v>
      </c>
      <c r="AO32" s="8" t="n">
        <v>0</v>
      </c>
      <c r="AP32" s="8" t="n">
        <v>0</v>
      </c>
      <c r="AQ32" s="8" t="n">
        <v>0</v>
      </c>
      <c r="AR32" s="8" t="n">
        <v>0</v>
      </c>
      <c r="AS32" s="8" t="n">
        <v>0</v>
      </c>
      <c r="AT32" s="8" t="n">
        <v>0</v>
      </c>
      <c r="AU32" s="8" t="n">
        <v>0</v>
      </c>
      <c r="AV32" s="8" t="n">
        <v>0</v>
      </c>
      <c r="AW32" s="8" t="n">
        <v>0</v>
      </c>
      <c r="AX32" s="8" t="n">
        <v>0</v>
      </c>
      <c r="AY32" s="8" t="n">
        <v>0</v>
      </c>
      <c r="AZ32" s="8" t="n">
        <v>0</v>
      </c>
      <c r="BA32" s="8" t="n">
        <v>0</v>
      </c>
      <c r="BB32" s="8" t="n">
        <v>0</v>
      </c>
      <c r="BC32" s="8" t="n">
        <v>0</v>
      </c>
      <c r="BD32" s="8" t="n">
        <v>0</v>
      </c>
      <c r="BE32" s="8" t="n">
        <v>0</v>
      </c>
      <c r="BF32" s="8" t="n">
        <v>0</v>
      </c>
      <c r="BG32" s="8" t="n">
        <v>0</v>
      </c>
      <c r="BH32" s="8" t="n">
        <v>0</v>
      </c>
      <c r="BI32" s="8" t="n">
        <v>0</v>
      </c>
      <c r="BJ32" s="8" t="n">
        <v>0</v>
      </c>
      <c r="BK32" s="8" t="n">
        <v>0</v>
      </c>
      <c r="BL32" s="8" t="n">
        <v>18</v>
      </c>
      <c r="BM32" s="8" t="n">
        <v>0</v>
      </c>
      <c r="BN32" s="8" t="n">
        <v>0</v>
      </c>
      <c r="BO32" s="8" t="n">
        <v>0</v>
      </c>
      <c r="BP32" s="8" t="n">
        <v>0</v>
      </c>
      <c r="BQ32" s="8" t="n">
        <v>0</v>
      </c>
      <c r="BR32" s="8" t="n">
        <v>0</v>
      </c>
      <c r="BS32" s="8" t="n">
        <v>0</v>
      </c>
      <c r="BT32" s="8" t="n">
        <v>0</v>
      </c>
      <c r="BU32" s="8" t="n">
        <v>0</v>
      </c>
      <c r="BV32" s="8" t="n">
        <v>0</v>
      </c>
      <c r="BW32" s="8" t="n">
        <v>0</v>
      </c>
      <c r="BX32" s="8" t="n">
        <v>0</v>
      </c>
      <c r="BY32" s="8" t="n">
        <v>0</v>
      </c>
      <c r="BZ32" s="8" t="n">
        <v>0</v>
      </c>
      <c r="CA32" s="8" t="n">
        <v>0</v>
      </c>
      <c r="CB32" s="8" t="n">
        <v>0</v>
      </c>
      <c r="CC32" s="8" t="n">
        <v>0</v>
      </c>
      <c r="CD32" s="8" t="n">
        <v>0</v>
      </c>
      <c r="CE32" s="8" t="n">
        <v>0</v>
      </c>
    </row>
    <row r="33">
      <c r="A33" s="15" t="inlineStr">
        <is>
          <t>2025-08-19</t>
        </is>
      </c>
      <c r="B33" s="11" t="n">
        <v>0</v>
      </c>
      <c r="C33" s="11" t="n">
        <v>3</v>
      </c>
      <c r="D33" s="11" t="n">
        <v>0</v>
      </c>
      <c r="E33" s="11" t="n">
        <v>1</v>
      </c>
      <c r="F33" s="11" t="n">
        <v>5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2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6</v>
      </c>
      <c r="Q33" s="11" t="n">
        <v>0</v>
      </c>
      <c r="R33" s="11" t="n">
        <v>10</v>
      </c>
      <c r="S33" s="11" t="n">
        <v>0</v>
      </c>
      <c r="T33" s="11" t="n">
        <v>0</v>
      </c>
      <c r="U33" s="11" t="n">
        <v>0</v>
      </c>
      <c r="V33" s="11" t="n">
        <v>0</v>
      </c>
      <c r="W33" s="11" t="n">
        <v>0</v>
      </c>
      <c r="X33" s="11" t="n">
        <v>0</v>
      </c>
      <c r="Y33" s="11" t="n">
        <v>0</v>
      </c>
      <c r="Z33" s="11" t="n">
        <v>0</v>
      </c>
      <c r="AA33" s="11" t="n">
        <v>0</v>
      </c>
      <c r="AB33" s="11" t="n">
        <v>0</v>
      </c>
      <c r="AC33" s="11" t="n">
        <v>0</v>
      </c>
      <c r="AD33" s="11" t="n">
        <v>0</v>
      </c>
      <c r="AE33" s="11" t="n">
        <v>0</v>
      </c>
      <c r="AF33" s="11" t="n">
        <v>16</v>
      </c>
      <c r="AG33" s="11" t="n">
        <v>0</v>
      </c>
      <c r="AH33" s="11" t="n">
        <v>0</v>
      </c>
      <c r="AI33" s="11" t="n">
        <v>0</v>
      </c>
      <c r="AJ33" s="11" t="n">
        <v>0</v>
      </c>
      <c r="AK33" s="11" t="n">
        <v>0</v>
      </c>
      <c r="AL33" s="11" t="n">
        <v>0</v>
      </c>
      <c r="AM33" s="11" t="n">
        <v>7</v>
      </c>
      <c r="AN33" s="11" t="n">
        <v>0</v>
      </c>
      <c r="AO33" s="11" t="n">
        <v>0</v>
      </c>
      <c r="AP33" s="11" t="n">
        <v>0</v>
      </c>
      <c r="AQ33" s="11" t="n">
        <v>0</v>
      </c>
      <c r="AR33" s="11" t="n">
        <v>0</v>
      </c>
      <c r="AS33" s="11" t="n">
        <v>0</v>
      </c>
      <c r="AT33" s="11" t="n">
        <v>0</v>
      </c>
      <c r="AU33" s="11" t="n">
        <v>0</v>
      </c>
      <c r="AV33" s="11" t="n">
        <v>0</v>
      </c>
      <c r="AW33" s="11" t="n">
        <v>0</v>
      </c>
      <c r="AX33" s="11" t="n">
        <v>0</v>
      </c>
      <c r="AY33" s="11" t="n">
        <v>0</v>
      </c>
      <c r="AZ33" s="11" t="n">
        <v>0</v>
      </c>
      <c r="BA33" s="11" t="n">
        <v>0</v>
      </c>
      <c r="BB33" s="11" t="n">
        <v>0</v>
      </c>
      <c r="BC33" s="11" t="n">
        <v>0</v>
      </c>
      <c r="BD33" s="11" t="n">
        <v>0</v>
      </c>
      <c r="BE33" s="11" t="n">
        <v>0</v>
      </c>
      <c r="BF33" s="11" t="n">
        <v>0</v>
      </c>
      <c r="BG33" s="11" t="n">
        <v>0</v>
      </c>
      <c r="BH33" s="11" t="n">
        <v>0</v>
      </c>
      <c r="BI33" s="11" t="n">
        <v>0</v>
      </c>
      <c r="BJ33" s="11" t="n">
        <v>0</v>
      </c>
      <c r="BK33" s="11" t="n">
        <v>0</v>
      </c>
      <c r="BL33" s="11" t="n">
        <v>18</v>
      </c>
      <c r="BM33" s="11" t="n">
        <v>0</v>
      </c>
      <c r="BN33" s="11" t="n">
        <v>0</v>
      </c>
      <c r="BO33" s="11" t="n">
        <v>0</v>
      </c>
      <c r="BP33" s="11" t="n">
        <v>0</v>
      </c>
      <c r="BQ33" s="11" t="n">
        <v>0</v>
      </c>
      <c r="BR33" s="11" t="n">
        <v>0</v>
      </c>
      <c r="BS33" s="11" t="n">
        <v>0</v>
      </c>
      <c r="BT33" s="11" t="n">
        <v>0</v>
      </c>
      <c r="BU33" s="11" t="n">
        <v>0</v>
      </c>
      <c r="BV33" s="11" t="n">
        <v>0</v>
      </c>
      <c r="BW33" s="11" t="n">
        <v>0</v>
      </c>
      <c r="BX33" s="11" t="n">
        <v>0</v>
      </c>
      <c r="BY33" s="11" t="n">
        <v>0</v>
      </c>
      <c r="BZ33" s="11" t="n">
        <v>0</v>
      </c>
      <c r="CA33" s="11" t="n">
        <v>0</v>
      </c>
      <c r="CB33" s="11" t="n">
        <v>0</v>
      </c>
      <c r="CC33" s="11" t="n">
        <v>0</v>
      </c>
      <c r="CD33" s="11" t="n">
        <v>0</v>
      </c>
      <c r="CE33" s="11" t="n">
        <v>0</v>
      </c>
    </row>
    <row r="34">
      <c r="A34" s="14" t="inlineStr">
        <is>
          <t>2025-08-20</t>
        </is>
      </c>
      <c r="B34" s="8" t="n">
        <v>0</v>
      </c>
      <c r="C34" s="8" t="n">
        <v>3</v>
      </c>
      <c r="D34" s="8" t="n">
        <v>0</v>
      </c>
      <c r="E34" s="8" t="n">
        <v>1</v>
      </c>
      <c r="F34" s="8" t="n">
        <v>5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2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6</v>
      </c>
      <c r="Q34" s="8" t="n">
        <v>0</v>
      </c>
      <c r="R34" s="8" t="n">
        <v>10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16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7</v>
      </c>
      <c r="AN34" s="8" t="n">
        <v>0</v>
      </c>
      <c r="AO34" s="8" t="n">
        <v>0</v>
      </c>
      <c r="AP34" s="8" t="n">
        <v>0</v>
      </c>
      <c r="AQ34" s="8" t="n">
        <v>0</v>
      </c>
      <c r="AR34" s="8" t="n">
        <v>0</v>
      </c>
      <c r="AS34" s="8" t="n">
        <v>0</v>
      </c>
      <c r="AT34" s="8" t="n">
        <v>0</v>
      </c>
      <c r="AU34" s="8" t="n">
        <v>0</v>
      </c>
      <c r="AV34" s="8" t="n">
        <v>0</v>
      </c>
      <c r="AW34" s="8" t="n">
        <v>0</v>
      </c>
      <c r="AX34" s="8" t="n">
        <v>0</v>
      </c>
      <c r="AY34" s="8" t="n">
        <v>0</v>
      </c>
      <c r="AZ34" s="8" t="n">
        <v>0</v>
      </c>
      <c r="BA34" s="8" t="n">
        <v>0</v>
      </c>
      <c r="BB34" s="8" t="n">
        <v>0</v>
      </c>
      <c r="BC34" s="8" t="n">
        <v>0</v>
      </c>
      <c r="BD34" s="8" t="n">
        <v>0</v>
      </c>
      <c r="BE34" s="8" t="n">
        <v>0</v>
      </c>
      <c r="BF34" s="8" t="n">
        <v>0</v>
      </c>
      <c r="BG34" s="8" t="n">
        <v>0</v>
      </c>
      <c r="BH34" s="8" t="n">
        <v>0</v>
      </c>
      <c r="BI34" s="8" t="n">
        <v>0</v>
      </c>
      <c r="BJ34" s="8" t="n">
        <v>0</v>
      </c>
      <c r="BK34" s="8" t="n">
        <v>0</v>
      </c>
      <c r="BL34" s="8" t="n">
        <v>18</v>
      </c>
      <c r="BM34" s="8" t="n">
        <v>0</v>
      </c>
      <c r="BN34" s="8" t="n">
        <v>0</v>
      </c>
      <c r="BO34" s="8" t="n">
        <v>0</v>
      </c>
      <c r="BP34" s="8" t="n">
        <v>0</v>
      </c>
      <c r="BQ34" s="8" t="n">
        <v>0</v>
      </c>
      <c r="BR34" s="8" t="n">
        <v>0</v>
      </c>
      <c r="BS34" s="8" t="n">
        <v>0</v>
      </c>
      <c r="BT34" s="8" t="n">
        <v>0</v>
      </c>
      <c r="BU34" s="8" t="n">
        <v>0</v>
      </c>
      <c r="BV34" s="8" t="n">
        <v>0</v>
      </c>
      <c r="BW34" s="8" t="n">
        <v>0</v>
      </c>
      <c r="BX34" s="8" t="n">
        <v>0</v>
      </c>
      <c r="BY34" s="8" t="n">
        <v>0</v>
      </c>
      <c r="BZ34" s="8" t="n">
        <v>0</v>
      </c>
      <c r="CA34" s="8" t="n">
        <v>0</v>
      </c>
      <c r="CB34" s="8" t="n">
        <v>0</v>
      </c>
      <c r="CC34" s="8" t="n">
        <v>0</v>
      </c>
      <c r="CD34" s="8" t="n">
        <v>0</v>
      </c>
      <c r="CE34" s="8" t="n">
        <v>0</v>
      </c>
    </row>
    <row r="35">
      <c r="A35" s="15" t="inlineStr">
        <is>
          <t>2025-08-21</t>
        </is>
      </c>
      <c r="B35" s="11" t="n">
        <v>0</v>
      </c>
      <c r="C35" s="11" t="n">
        <v>3</v>
      </c>
      <c r="D35" s="11" t="n">
        <v>0</v>
      </c>
      <c r="E35" s="11" t="n">
        <v>1</v>
      </c>
      <c r="F35" s="11" t="n">
        <v>5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2</v>
      </c>
      <c r="L35" s="11" t="n">
        <v>0</v>
      </c>
      <c r="M35" s="11" t="n">
        <v>0</v>
      </c>
      <c r="N35" s="11" t="n">
        <v>0</v>
      </c>
      <c r="O35" s="11" t="n">
        <v>0</v>
      </c>
      <c r="P35" s="11" t="n">
        <v>6</v>
      </c>
      <c r="Q35" s="11" t="n">
        <v>0</v>
      </c>
      <c r="R35" s="11" t="n">
        <v>10</v>
      </c>
      <c r="S35" s="11" t="n">
        <v>0</v>
      </c>
      <c r="T35" s="11" t="n">
        <v>0</v>
      </c>
      <c r="U35" s="11" t="n">
        <v>0</v>
      </c>
      <c r="V35" s="11" t="n">
        <v>0</v>
      </c>
      <c r="W35" s="11" t="n">
        <v>0</v>
      </c>
      <c r="X35" s="11" t="n">
        <v>0</v>
      </c>
      <c r="Y35" s="11" t="n">
        <v>0</v>
      </c>
      <c r="Z35" s="11" t="n">
        <v>0</v>
      </c>
      <c r="AA35" s="11" t="n">
        <v>0</v>
      </c>
      <c r="AB35" s="11" t="n">
        <v>0</v>
      </c>
      <c r="AC35" s="11" t="n">
        <v>0</v>
      </c>
      <c r="AD35" s="11" t="n">
        <v>0</v>
      </c>
      <c r="AE35" s="11" t="n">
        <v>0</v>
      </c>
      <c r="AF35" s="11" t="n">
        <v>16</v>
      </c>
      <c r="AG35" s="11" t="n">
        <v>0</v>
      </c>
      <c r="AH35" s="11" t="n">
        <v>0</v>
      </c>
      <c r="AI35" s="11" t="n">
        <v>0</v>
      </c>
      <c r="AJ35" s="11" t="n">
        <v>0</v>
      </c>
      <c r="AK35" s="11" t="n">
        <v>0</v>
      </c>
      <c r="AL35" s="11" t="n">
        <v>0</v>
      </c>
      <c r="AM35" s="11" t="n">
        <v>7</v>
      </c>
      <c r="AN35" s="11" t="n">
        <v>0</v>
      </c>
      <c r="AO35" s="11" t="n">
        <v>0</v>
      </c>
      <c r="AP35" s="11" t="n">
        <v>0</v>
      </c>
      <c r="AQ35" s="11" t="n">
        <v>0</v>
      </c>
      <c r="AR35" s="11" t="n">
        <v>0</v>
      </c>
      <c r="AS35" s="11" t="n">
        <v>0</v>
      </c>
      <c r="AT35" s="11" t="n">
        <v>0</v>
      </c>
      <c r="AU35" s="11" t="n">
        <v>0</v>
      </c>
      <c r="AV35" s="11" t="n">
        <v>0</v>
      </c>
      <c r="AW35" s="11" t="n">
        <v>0</v>
      </c>
      <c r="AX35" s="11" t="n">
        <v>0</v>
      </c>
      <c r="AY35" s="11" t="n">
        <v>0</v>
      </c>
      <c r="AZ35" s="11" t="n">
        <v>0</v>
      </c>
      <c r="BA35" s="11" t="n">
        <v>0</v>
      </c>
      <c r="BB35" s="11" t="n">
        <v>0</v>
      </c>
      <c r="BC35" s="11" t="n">
        <v>0</v>
      </c>
      <c r="BD35" s="11" t="n">
        <v>0</v>
      </c>
      <c r="BE35" s="11" t="n">
        <v>0</v>
      </c>
      <c r="BF35" s="11" t="n">
        <v>0</v>
      </c>
      <c r="BG35" s="11" t="n">
        <v>0</v>
      </c>
      <c r="BH35" s="11" t="n">
        <v>0</v>
      </c>
      <c r="BI35" s="11" t="n">
        <v>0</v>
      </c>
      <c r="BJ35" s="11" t="n">
        <v>0</v>
      </c>
      <c r="BK35" s="11" t="n">
        <v>0</v>
      </c>
      <c r="BL35" s="11" t="n">
        <v>18</v>
      </c>
      <c r="BM35" s="11" t="n">
        <v>0</v>
      </c>
      <c r="BN35" s="11" t="n">
        <v>0</v>
      </c>
      <c r="BO35" s="11" t="n">
        <v>0</v>
      </c>
      <c r="BP35" s="11" t="n">
        <v>0</v>
      </c>
      <c r="BQ35" s="11" t="n">
        <v>0</v>
      </c>
      <c r="BR35" s="11" t="n">
        <v>0</v>
      </c>
      <c r="BS35" s="11" t="n">
        <v>0</v>
      </c>
      <c r="BT35" s="11" t="n">
        <v>0</v>
      </c>
      <c r="BU35" s="11" t="n">
        <v>0</v>
      </c>
      <c r="BV35" s="11" t="n">
        <v>0</v>
      </c>
      <c r="BW35" s="11" t="n">
        <v>0</v>
      </c>
      <c r="BX35" s="11" t="n">
        <v>0</v>
      </c>
      <c r="BY35" s="11" t="n">
        <v>0</v>
      </c>
      <c r="BZ35" s="11" t="n">
        <v>0</v>
      </c>
      <c r="CA35" s="11" t="n">
        <v>0</v>
      </c>
      <c r="CB35" s="11" t="n">
        <v>0</v>
      </c>
      <c r="CC35" s="11" t="n">
        <v>0</v>
      </c>
      <c r="CD35" s="11" t="n">
        <v>0</v>
      </c>
      <c r="CE35" s="11" t="n">
        <v>0</v>
      </c>
    </row>
    <row r="36">
      <c r="A36" s="14" t="inlineStr">
        <is>
          <t>2025-08-22</t>
        </is>
      </c>
      <c r="B36" s="8" t="n">
        <v>0</v>
      </c>
      <c r="C36" s="8" t="n">
        <v>3</v>
      </c>
      <c r="D36" s="8" t="n">
        <v>0</v>
      </c>
      <c r="E36" s="8" t="n">
        <v>1</v>
      </c>
      <c r="F36" s="8" t="n">
        <v>5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2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6</v>
      </c>
      <c r="Q36" s="8" t="n">
        <v>0</v>
      </c>
      <c r="R36" s="8" t="n">
        <v>10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16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7</v>
      </c>
      <c r="AN36" s="8" t="n">
        <v>0</v>
      </c>
      <c r="AO36" s="8" t="n">
        <v>0</v>
      </c>
      <c r="AP36" s="8" t="n">
        <v>0</v>
      </c>
      <c r="AQ36" s="8" t="n">
        <v>0</v>
      </c>
      <c r="AR36" s="8" t="n">
        <v>0</v>
      </c>
      <c r="AS36" s="8" t="n">
        <v>0</v>
      </c>
      <c r="AT36" s="8" t="n">
        <v>0</v>
      </c>
      <c r="AU36" s="8" t="n">
        <v>0</v>
      </c>
      <c r="AV36" s="8" t="n">
        <v>0</v>
      </c>
      <c r="AW36" s="8" t="n">
        <v>0</v>
      </c>
      <c r="AX36" s="8" t="n">
        <v>0</v>
      </c>
      <c r="AY36" s="8" t="n">
        <v>0</v>
      </c>
      <c r="AZ36" s="8" t="n">
        <v>0</v>
      </c>
      <c r="BA36" s="8" t="n">
        <v>0</v>
      </c>
      <c r="BB36" s="8" t="n">
        <v>0</v>
      </c>
      <c r="BC36" s="8" t="n">
        <v>0</v>
      </c>
      <c r="BD36" s="8" t="n">
        <v>0</v>
      </c>
      <c r="BE36" s="8" t="n">
        <v>0</v>
      </c>
      <c r="BF36" s="8" t="n">
        <v>0</v>
      </c>
      <c r="BG36" s="8" t="n">
        <v>0</v>
      </c>
      <c r="BH36" s="8" t="n">
        <v>0</v>
      </c>
      <c r="BI36" s="8" t="n">
        <v>0</v>
      </c>
      <c r="BJ36" s="8" t="n">
        <v>0</v>
      </c>
      <c r="BK36" s="8" t="n">
        <v>0</v>
      </c>
      <c r="BL36" s="8" t="n">
        <v>18</v>
      </c>
      <c r="BM36" s="8" t="n">
        <v>0</v>
      </c>
      <c r="BN36" s="8" t="n">
        <v>0</v>
      </c>
      <c r="BO36" s="8" t="n">
        <v>0</v>
      </c>
      <c r="BP36" s="8" t="n">
        <v>0</v>
      </c>
      <c r="BQ36" s="8" t="n">
        <v>0</v>
      </c>
      <c r="BR36" s="8" t="n">
        <v>0</v>
      </c>
      <c r="BS36" s="8" t="n">
        <v>0</v>
      </c>
      <c r="BT36" s="8" t="n">
        <v>0</v>
      </c>
      <c r="BU36" s="8" t="n">
        <v>0</v>
      </c>
      <c r="BV36" s="8" t="n">
        <v>0</v>
      </c>
      <c r="BW36" s="8" t="n">
        <v>0</v>
      </c>
      <c r="BX36" s="8" t="n">
        <v>0</v>
      </c>
      <c r="BY36" s="8" t="n">
        <v>0</v>
      </c>
      <c r="BZ36" s="8" t="n">
        <v>0</v>
      </c>
      <c r="CA36" s="8" t="n">
        <v>0</v>
      </c>
      <c r="CB36" s="8" t="n">
        <v>0</v>
      </c>
      <c r="CC36" s="8" t="n">
        <v>0</v>
      </c>
      <c r="CD36" s="8" t="n">
        <v>0</v>
      </c>
      <c r="CE36" s="8" t="n">
        <v>0</v>
      </c>
    </row>
    <row r="37">
      <c r="A37" s="15" t="inlineStr">
        <is>
          <t>2025-08-25</t>
        </is>
      </c>
      <c r="B37" s="11" t="n">
        <v>0</v>
      </c>
      <c r="C37" s="11" t="n">
        <v>0</v>
      </c>
      <c r="D37" s="11" t="n">
        <v>0</v>
      </c>
      <c r="E37" s="11" t="n">
        <v>1</v>
      </c>
      <c r="F37" s="11" t="n">
        <v>5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2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6</v>
      </c>
      <c r="Q37" s="11" t="n">
        <v>0</v>
      </c>
      <c r="R37" s="11" t="n">
        <v>10</v>
      </c>
      <c r="S37" s="11" t="n">
        <v>0</v>
      </c>
      <c r="T37" s="11" t="n">
        <v>0</v>
      </c>
      <c r="U37" s="11" t="n">
        <v>0</v>
      </c>
      <c r="V37" s="11" t="n">
        <v>0</v>
      </c>
      <c r="W37" s="11" t="n">
        <v>0</v>
      </c>
      <c r="X37" s="11" t="n">
        <v>0</v>
      </c>
      <c r="Y37" s="11" t="n">
        <v>0</v>
      </c>
      <c r="Z37" s="11" t="n">
        <v>0</v>
      </c>
      <c r="AA37" s="11" t="n">
        <v>0</v>
      </c>
      <c r="AB37" s="11" t="n">
        <v>0</v>
      </c>
      <c r="AC37" s="11" t="n">
        <v>0</v>
      </c>
      <c r="AD37" s="11" t="n">
        <v>0</v>
      </c>
      <c r="AE37" s="11" t="n">
        <v>0</v>
      </c>
      <c r="AF37" s="11" t="n">
        <v>16</v>
      </c>
      <c r="AG37" s="11" t="n">
        <v>0</v>
      </c>
      <c r="AH37" s="11" t="n">
        <v>0</v>
      </c>
      <c r="AI37" s="11" t="n">
        <v>0</v>
      </c>
      <c r="AJ37" s="11" t="n">
        <v>0</v>
      </c>
      <c r="AK37" s="11" t="n">
        <v>0</v>
      </c>
      <c r="AL37" s="11" t="n">
        <v>0</v>
      </c>
      <c r="AM37" s="11" t="n">
        <v>7</v>
      </c>
      <c r="AN37" s="11" t="n">
        <v>0</v>
      </c>
      <c r="AO37" s="11" t="n">
        <v>0</v>
      </c>
      <c r="AP37" s="11" t="n">
        <v>0</v>
      </c>
      <c r="AQ37" s="11" t="n">
        <v>0</v>
      </c>
      <c r="AR37" s="11" t="n">
        <v>0</v>
      </c>
      <c r="AS37" s="11" t="n">
        <v>0</v>
      </c>
      <c r="AT37" s="11" t="n">
        <v>0</v>
      </c>
      <c r="AU37" s="11" t="n">
        <v>0</v>
      </c>
      <c r="AV37" s="11" t="n">
        <v>0</v>
      </c>
      <c r="AW37" s="11" t="n">
        <v>0</v>
      </c>
      <c r="AX37" s="11" t="n">
        <v>0</v>
      </c>
      <c r="AY37" s="11" t="n">
        <v>0</v>
      </c>
      <c r="AZ37" s="11" t="n">
        <v>0</v>
      </c>
      <c r="BA37" s="11" t="n">
        <v>0</v>
      </c>
      <c r="BB37" s="11" t="n">
        <v>0</v>
      </c>
      <c r="BC37" s="11" t="n">
        <v>0</v>
      </c>
      <c r="BD37" s="11" t="n">
        <v>0</v>
      </c>
      <c r="BE37" s="11" t="n">
        <v>0</v>
      </c>
      <c r="BF37" s="11" t="n">
        <v>0</v>
      </c>
      <c r="BG37" s="11" t="n">
        <v>0</v>
      </c>
      <c r="BH37" s="11" t="n">
        <v>0</v>
      </c>
      <c r="BI37" s="11" t="n">
        <v>0</v>
      </c>
      <c r="BJ37" s="11" t="n">
        <v>0</v>
      </c>
      <c r="BK37" s="11" t="n">
        <v>0</v>
      </c>
      <c r="BL37" s="11" t="n">
        <v>18</v>
      </c>
      <c r="BM37" s="11" t="n">
        <v>0</v>
      </c>
      <c r="BN37" s="11" t="n">
        <v>0</v>
      </c>
      <c r="BO37" s="11" t="n">
        <v>0</v>
      </c>
      <c r="BP37" s="11" t="n">
        <v>0</v>
      </c>
      <c r="BQ37" s="11" t="n">
        <v>0</v>
      </c>
      <c r="BR37" s="11" t="n">
        <v>0</v>
      </c>
      <c r="BS37" s="11" t="n">
        <v>0</v>
      </c>
      <c r="BT37" s="11" t="n">
        <v>0</v>
      </c>
      <c r="BU37" s="11" t="n">
        <v>0</v>
      </c>
      <c r="BV37" s="11" t="n">
        <v>0</v>
      </c>
      <c r="BW37" s="11" t="n">
        <v>0</v>
      </c>
      <c r="BX37" s="11" t="n">
        <v>0</v>
      </c>
      <c r="BY37" s="11" t="n">
        <v>0</v>
      </c>
      <c r="BZ37" s="11" t="n">
        <v>0</v>
      </c>
      <c r="CA37" s="11" t="n">
        <v>0</v>
      </c>
      <c r="CB37" s="11" t="n">
        <v>0</v>
      </c>
      <c r="CC37" s="11" t="n">
        <v>0</v>
      </c>
      <c r="CD37" s="11" t="n">
        <v>0</v>
      </c>
      <c r="CE37" s="11" t="n">
        <v>0</v>
      </c>
    </row>
    <row r="38">
      <c r="A38" s="14" t="inlineStr">
        <is>
          <t>2025-08-26</t>
        </is>
      </c>
      <c r="B38" s="8" t="n">
        <v>0</v>
      </c>
      <c r="C38" s="8" t="n">
        <v>0</v>
      </c>
      <c r="D38" s="8" t="n">
        <v>0</v>
      </c>
      <c r="E38" s="8" t="n">
        <v>1</v>
      </c>
      <c r="F38" s="8" t="n">
        <v>5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2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6</v>
      </c>
      <c r="Q38" s="8" t="n">
        <v>0</v>
      </c>
      <c r="R38" s="8" t="n">
        <v>10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16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7</v>
      </c>
      <c r="AN38" s="8" t="n">
        <v>0</v>
      </c>
      <c r="AO38" s="8" t="n">
        <v>0</v>
      </c>
      <c r="AP38" s="8" t="n">
        <v>0</v>
      </c>
      <c r="AQ38" s="8" t="n">
        <v>0</v>
      </c>
      <c r="AR38" s="8" t="n">
        <v>0</v>
      </c>
      <c r="AS38" s="8" t="n">
        <v>0</v>
      </c>
      <c r="AT38" s="8" t="n">
        <v>0</v>
      </c>
      <c r="AU38" s="8" t="n">
        <v>0</v>
      </c>
      <c r="AV38" s="8" t="n">
        <v>0</v>
      </c>
      <c r="AW38" s="8" t="n">
        <v>0</v>
      </c>
      <c r="AX38" s="8" t="n">
        <v>0</v>
      </c>
      <c r="AY38" s="8" t="n">
        <v>2</v>
      </c>
      <c r="AZ38" s="8" t="n">
        <v>0</v>
      </c>
      <c r="BA38" s="8" t="n">
        <v>0</v>
      </c>
      <c r="BB38" s="8" t="n">
        <v>0</v>
      </c>
      <c r="BC38" s="8" t="n">
        <v>0</v>
      </c>
      <c r="BD38" s="8" t="n">
        <v>0</v>
      </c>
      <c r="BE38" s="8" t="n">
        <v>0</v>
      </c>
      <c r="BF38" s="8" t="n">
        <v>0</v>
      </c>
      <c r="BG38" s="8" t="n">
        <v>0</v>
      </c>
      <c r="BH38" s="8" t="n">
        <v>0</v>
      </c>
      <c r="BI38" s="8" t="n">
        <v>0</v>
      </c>
      <c r="BJ38" s="8" t="n">
        <v>0</v>
      </c>
      <c r="BK38" s="8" t="n">
        <v>0</v>
      </c>
      <c r="BL38" s="8" t="n">
        <v>18</v>
      </c>
      <c r="BM38" s="8" t="n">
        <v>0</v>
      </c>
      <c r="BN38" s="8" t="n">
        <v>0</v>
      </c>
      <c r="BO38" s="8" t="n">
        <v>0</v>
      </c>
      <c r="BP38" s="8" t="n">
        <v>0</v>
      </c>
      <c r="BQ38" s="8" t="n">
        <v>0</v>
      </c>
      <c r="BR38" s="8" t="n">
        <v>0</v>
      </c>
      <c r="BS38" s="8" t="n">
        <v>0</v>
      </c>
      <c r="BT38" s="8" t="n">
        <v>0</v>
      </c>
      <c r="BU38" s="8" t="n">
        <v>0</v>
      </c>
      <c r="BV38" s="8" t="n">
        <v>0</v>
      </c>
      <c r="BW38" s="8" t="n">
        <v>0</v>
      </c>
      <c r="BX38" s="8" t="n">
        <v>0</v>
      </c>
      <c r="BY38" s="8" t="n">
        <v>0</v>
      </c>
      <c r="BZ38" s="8" t="n">
        <v>0</v>
      </c>
      <c r="CA38" s="8" t="n">
        <v>0</v>
      </c>
      <c r="CB38" s="8" t="n">
        <v>0</v>
      </c>
      <c r="CC38" s="8" t="n">
        <v>0</v>
      </c>
      <c r="CD38" s="8" t="n">
        <v>0</v>
      </c>
      <c r="CE38" s="8" t="n">
        <v>0</v>
      </c>
    </row>
    <row r="39">
      <c r="A39" s="15" t="inlineStr">
        <is>
          <t>2025-08-27</t>
        </is>
      </c>
      <c r="B39" s="11" t="n">
        <v>0</v>
      </c>
      <c r="C39" s="11" t="n">
        <v>0</v>
      </c>
      <c r="D39" s="11" t="n">
        <v>0</v>
      </c>
      <c r="E39" s="11" t="n">
        <v>1</v>
      </c>
      <c r="F39" s="11" t="n">
        <v>5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2</v>
      </c>
      <c r="L39" s="11" t="n">
        <v>0</v>
      </c>
      <c r="M39" s="11" t="n">
        <v>0</v>
      </c>
      <c r="N39" s="11" t="n">
        <v>0</v>
      </c>
      <c r="O39" s="11" t="n">
        <v>0</v>
      </c>
      <c r="P39" s="11" t="n">
        <v>6</v>
      </c>
      <c r="Q39" s="11" t="n">
        <v>0</v>
      </c>
      <c r="R39" s="11" t="n">
        <v>10</v>
      </c>
      <c r="S39" s="11" t="n">
        <v>0</v>
      </c>
      <c r="T39" s="11" t="n">
        <v>0</v>
      </c>
      <c r="U39" s="11" t="n">
        <v>0</v>
      </c>
      <c r="V39" s="11" t="n">
        <v>0</v>
      </c>
      <c r="W39" s="11" t="n">
        <v>0</v>
      </c>
      <c r="X39" s="11" t="n">
        <v>0</v>
      </c>
      <c r="Y39" s="11" t="n">
        <v>0</v>
      </c>
      <c r="Z39" s="11" t="n">
        <v>0</v>
      </c>
      <c r="AA39" s="11" t="n">
        <v>0</v>
      </c>
      <c r="AB39" s="11" t="n">
        <v>0</v>
      </c>
      <c r="AC39" s="11" t="n">
        <v>0</v>
      </c>
      <c r="AD39" s="11" t="n">
        <v>0</v>
      </c>
      <c r="AE39" s="11" t="n">
        <v>0</v>
      </c>
      <c r="AF39" s="11" t="n">
        <v>16</v>
      </c>
      <c r="AG39" s="11" t="n">
        <v>0</v>
      </c>
      <c r="AH39" s="11" t="n">
        <v>0</v>
      </c>
      <c r="AI39" s="11" t="n">
        <v>0</v>
      </c>
      <c r="AJ39" s="11" t="n">
        <v>0</v>
      </c>
      <c r="AK39" s="11" t="n">
        <v>0</v>
      </c>
      <c r="AL39" s="11" t="n">
        <v>0</v>
      </c>
      <c r="AM39" s="11" t="n">
        <v>7</v>
      </c>
      <c r="AN39" s="11" t="n">
        <v>0</v>
      </c>
      <c r="AO39" s="11" t="n">
        <v>0</v>
      </c>
      <c r="AP39" s="11" t="n">
        <v>0</v>
      </c>
      <c r="AQ39" s="11" t="n">
        <v>0</v>
      </c>
      <c r="AR39" s="11" t="n">
        <v>0</v>
      </c>
      <c r="AS39" s="11" t="n">
        <v>0</v>
      </c>
      <c r="AT39" s="11" t="n">
        <v>0</v>
      </c>
      <c r="AU39" s="11" t="n">
        <v>0</v>
      </c>
      <c r="AV39" s="11" t="n">
        <v>0</v>
      </c>
      <c r="AW39" s="11" t="n">
        <v>0</v>
      </c>
      <c r="AX39" s="11" t="n">
        <v>0</v>
      </c>
      <c r="AY39" s="11" t="n">
        <v>2</v>
      </c>
      <c r="AZ39" s="11" t="n">
        <v>0</v>
      </c>
      <c r="BA39" s="11" t="n">
        <v>0</v>
      </c>
      <c r="BB39" s="11" t="n">
        <v>0</v>
      </c>
      <c r="BC39" s="11" t="n">
        <v>0</v>
      </c>
      <c r="BD39" s="11" t="n">
        <v>0</v>
      </c>
      <c r="BE39" s="11" t="n">
        <v>0</v>
      </c>
      <c r="BF39" s="11" t="n">
        <v>0</v>
      </c>
      <c r="BG39" s="11" t="n">
        <v>0</v>
      </c>
      <c r="BH39" s="11" t="n">
        <v>0</v>
      </c>
      <c r="BI39" s="11" t="n">
        <v>0</v>
      </c>
      <c r="BJ39" s="11" t="n">
        <v>0</v>
      </c>
      <c r="BK39" s="11" t="n">
        <v>0</v>
      </c>
      <c r="BL39" s="11" t="n">
        <v>18</v>
      </c>
      <c r="BM39" s="11" t="n">
        <v>0</v>
      </c>
      <c r="BN39" s="11" t="n">
        <v>0</v>
      </c>
      <c r="BO39" s="11" t="n">
        <v>0</v>
      </c>
      <c r="BP39" s="11" t="n">
        <v>0</v>
      </c>
      <c r="BQ39" s="11" t="n">
        <v>0</v>
      </c>
      <c r="BR39" s="11" t="n">
        <v>0</v>
      </c>
      <c r="BS39" s="11" t="n">
        <v>0</v>
      </c>
      <c r="BT39" s="11" t="n">
        <v>0</v>
      </c>
      <c r="BU39" s="11" t="n">
        <v>0</v>
      </c>
      <c r="BV39" s="11" t="n">
        <v>0</v>
      </c>
      <c r="BW39" s="11" t="n">
        <v>0</v>
      </c>
      <c r="BX39" s="11" t="n">
        <v>0</v>
      </c>
      <c r="BY39" s="11" t="n">
        <v>0</v>
      </c>
      <c r="BZ39" s="11" t="n">
        <v>0</v>
      </c>
      <c r="CA39" s="11" t="n">
        <v>0</v>
      </c>
      <c r="CB39" s="11" t="n">
        <v>0</v>
      </c>
      <c r="CC39" s="11" t="n">
        <v>0</v>
      </c>
      <c r="CD39" s="11" t="n">
        <v>0</v>
      </c>
      <c r="CE39" s="11" t="n">
        <v>0</v>
      </c>
    </row>
    <row r="40">
      <c r="A40" s="14" t="inlineStr">
        <is>
          <t>2025-08-28</t>
        </is>
      </c>
      <c r="B40" s="8" t="n">
        <v>0</v>
      </c>
      <c r="C40" s="8" t="n">
        <v>0</v>
      </c>
      <c r="D40" s="8" t="n">
        <v>0</v>
      </c>
      <c r="E40" s="8" t="n">
        <v>1</v>
      </c>
      <c r="F40" s="8" t="n">
        <v>5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2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6</v>
      </c>
      <c r="Q40" s="8" t="n">
        <v>0</v>
      </c>
      <c r="R40" s="8" t="n">
        <v>10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16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7</v>
      </c>
      <c r="AN40" s="8" t="n">
        <v>0</v>
      </c>
      <c r="AO40" s="8" t="n">
        <v>0</v>
      </c>
      <c r="AP40" s="8" t="n">
        <v>0</v>
      </c>
      <c r="AQ40" s="8" t="n">
        <v>0</v>
      </c>
      <c r="AR40" s="8" t="n">
        <v>0</v>
      </c>
      <c r="AS40" s="8" t="n">
        <v>0</v>
      </c>
      <c r="AT40" s="8" t="n">
        <v>0</v>
      </c>
      <c r="AU40" s="8" t="n">
        <v>0</v>
      </c>
      <c r="AV40" s="8" t="n">
        <v>0</v>
      </c>
      <c r="AW40" s="8" t="n">
        <v>0</v>
      </c>
      <c r="AX40" s="8" t="n">
        <v>0</v>
      </c>
      <c r="AY40" s="8" t="n">
        <v>2</v>
      </c>
      <c r="AZ40" s="8" t="n">
        <v>0</v>
      </c>
      <c r="BA40" s="8" t="n">
        <v>0</v>
      </c>
      <c r="BB40" s="8" t="n">
        <v>0</v>
      </c>
      <c r="BC40" s="8" t="n">
        <v>0</v>
      </c>
      <c r="BD40" s="8" t="n">
        <v>0</v>
      </c>
      <c r="BE40" s="8" t="n">
        <v>0</v>
      </c>
      <c r="BF40" s="8" t="n">
        <v>0</v>
      </c>
      <c r="BG40" s="8" t="n">
        <v>0</v>
      </c>
      <c r="BH40" s="8" t="n">
        <v>0</v>
      </c>
      <c r="BI40" s="8" t="n">
        <v>0</v>
      </c>
      <c r="BJ40" s="8" t="n">
        <v>0</v>
      </c>
      <c r="BK40" s="8" t="n">
        <v>0</v>
      </c>
      <c r="BL40" s="8" t="n">
        <v>18</v>
      </c>
      <c r="BM40" s="8" t="n">
        <v>0</v>
      </c>
      <c r="BN40" s="8" t="n">
        <v>0</v>
      </c>
      <c r="BO40" s="8" t="n">
        <v>0</v>
      </c>
      <c r="BP40" s="8" t="n">
        <v>0</v>
      </c>
      <c r="BQ40" s="8" t="n">
        <v>0</v>
      </c>
      <c r="BR40" s="8" t="n">
        <v>0</v>
      </c>
      <c r="BS40" s="8" t="n">
        <v>0</v>
      </c>
      <c r="BT40" s="8" t="n">
        <v>0</v>
      </c>
      <c r="BU40" s="8" t="n">
        <v>0</v>
      </c>
      <c r="BV40" s="8" t="n">
        <v>0</v>
      </c>
      <c r="BW40" s="8" t="n">
        <v>0</v>
      </c>
      <c r="BX40" s="8" t="n">
        <v>0</v>
      </c>
      <c r="BY40" s="8" t="n">
        <v>0</v>
      </c>
      <c r="BZ40" s="8" t="n">
        <v>0</v>
      </c>
      <c r="CA40" s="8" t="n">
        <v>0</v>
      </c>
      <c r="CB40" s="8" t="n">
        <v>0</v>
      </c>
      <c r="CC40" s="8" t="n">
        <v>0</v>
      </c>
      <c r="CD40" s="8" t="n">
        <v>0</v>
      </c>
      <c r="CE40" s="8" t="n">
        <v>0</v>
      </c>
    </row>
    <row r="41">
      <c r="A41" s="15" t="inlineStr">
        <is>
          <t>2025-08-29</t>
        </is>
      </c>
      <c r="B41" s="11" t="n">
        <v>0</v>
      </c>
      <c r="C41" s="11" t="n">
        <v>0</v>
      </c>
      <c r="D41" s="11" t="n">
        <v>0</v>
      </c>
      <c r="E41" s="11" t="n">
        <v>1</v>
      </c>
      <c r="F41" s="11" t="n">
        <v>5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2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6</v>
      </c>
      <c r="Q41" s="11" t="n">
        <v>0</v>
      </c>
      <c r="R41" s="11" t="n">
        <v>10</v>
      </c>
      <c r="S41" s="11" t="n">
        <v>0</v>
      </c>
      <c r="T41" s="11" t="n">
        <v>0</v>
      </c>
      <c r="U41" s="11" t="n">
        <v>0</v>
      </c>
      <c r="V41" s="11" t="n">
        <v>0</v>
      </c>
      <c r="W41" s="11" t="n">
        <v>0</v>
      </c>
      <c r="X41" s="11" t="n">
        <v>0</v>
      </c>
      <c r="Y41" s="11" t="n">
        <v>0</v>
      </c>
      <c r="Z41" s="11" t="n">
        <v>0</v>
      </c>
      <c r="AA41" s="11" t="n">
        <v>0</v>
      </c>
      <c r="AB41" s="11" t="n">
        <v>0</v>
      </c>
      <c r="AC41" s="11" t="n">
        <v>0</v>
      </c>
      <c r="AD41" s="11" t="n">
        <v>0</v>
      </c>
      <c r="AE41" s="11" t="n">
        <v>0</v>
      </c>
      <c r="AF41" s="11" t="n">
        <v>16</v>
      </c>
      <c r="AG41" s="11" t="n">
        <v>0</v>
      </c>
      <c r="AH41" s="11" t="n">
        <v>0</v>
      </c>
      <c r="AI41" s="11" t="n">
        <v>0</v>
      </c>
      <c r="AJ41" s="11" t="n">
        <v>0</v>
      </c>
      <c r="AK41" s="11" t="n">
        <v>0</v>
      </c>
      <c r="AL41" s="11" t="n">
        <v>0</v>
      </c>
      <c r="AM41" s="11" t="n">
        <v>7</v>
      </c>
      <c r="AN41" s="11" t="n">
        <v>0</v>
      </c>
      <c r="AO41" s="11" t="n">
        <v>0</v>
      </c>
      <c r="AP41" s="11" t="n">
        <v>0</v>
      </c>
      <c r="AQ41" s="11" t="n">
        <v>0</v>
      </c>
      <c r="AR41" s="11" t="n">
        <v>0</v>
      </c>
      <c r="AS41" s="11" t="n">
        <v>0</v>
      </c>
      <c r="AT41" s="11" t="n">
        <v>0</v>
      </c>
      <c r="AU41" s="11" t="n">
        <v>0</v>
      </c>
      <c r="AV41" s="11" t="n">
        <v>0</v>
      </c>
      <c r="AW41" s="11" t="n">
        <v>0</v>
      </c>
      <c r="AX41" s="11" t="n">
        <v>0</v>
      </c>
      <c r="AY41" s="11" t="n">
        <v>2</v>
      </c>
      <c r="AZ41" s="11" t="n">
        <v>0</v>
      </c>
      <c r="BA41" s="11" t="n">
        <v>0</v>
      </c>
      <c r="BB41" s="11" t="n">
        <v>0</v>
      </c>
      <c r="BC41" s="11" t="n">
        <v>0</v>
      </c>
      <c r="BD41" s="11" t="n">
        <v>0</v>
      </c>
      <c r="BE41" s="11" t="n">
        <v>0</v>
      </c>
      <c r="BF41" s="11" t="n">
        <v>0</v>
      </c>
      <c r="BG41" s="11" t="n">
        <v>0</v>
      </c>
      <c r="BH41" s="11" t="n">
        <v>0</v>
      </c>
      <c r="BI41" s="11" t="n">
        <v>0</v>
      </c>
      <c r="BJ41" s="11" t="n">
        <v>0</v>
      </c>
      <c r="BK41" s="11" t="n">
        <v>0</v>
      </c>
      <c r="BL41" s="11" t="n">
        <v>18</v>
      </c>
      <c r="BM41" s="11" t="n">
        <v>0</v>
      </c>
      <c r="BN41" s="11" t="n">
        <v>0</v>
      </c>
      <c r="BO41" s="11" t="n">
        <v>0</v>
      </c>
      <c r="BP41" s="11" t="n">
        <v>0</v>
      </c>
      <c r="BQ41" s="11" t="n">
        <v>0</v>
      </c>
      <c r="BR41" s="11" t="n">
        <v>0</v>
      </c>
      <c r="BS41" s="11" t="n">
        <v>0</v>
      </c>
      <c r="BT41" s="11" t="n">
        <v>0</v>
      </c>
      <c r="BU41" s="11" t="n">
        <v>0</v>
      </c>
      <c r="BV41" s="11" t="n">
        <v>0</v>
      </c>
      <c r="BW41" s="11" t="n">
        <v>0</v>
      </c>
      <c r="BX41" s="11" t="n">
        <v>0</v>
      </c>
      <c r="BY41" s="11" t="n">
        <v>0</v>
      </c>
      <c r="BZ41" s="11" t="n">
        <v>0</v>
      </c>
      <c r="CA41" s="11" t="n">
        <v>0</v>
      </c>
      <c r="CB41" s="11" t="n">
        <v>0</v>
      </c>
      <c r="CC41" s="11" t="n">
        <v>0</v>
      </c>
      <c r="CD41" s="11" t="n">
        <v>0</v>
      </c>
      <c r="CE41" s="11" t="n">
        <v>0</v>
      </c>
    </row>
    <row r="42">
      <c r="A42" s="14" t="inlineStr">
        <is>
          <t>2025-09-01</t>
        </is>
      </c>
      <c r="B42" s="8" t="n">
        <v>0</v>
      </c>
      <c r="C42" s="8" t="n">
        <v>0</v>
      </c>
      <c r="D42" s="8" t="n">
        <v>0</v>
      </c>
      <c r="E42" s="8" t="n">
        <v>1</v>
      </c>
      <c r="F42" s="8" t="n">
        <v>5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2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6</v>
      </c>
      <c r="Q42" s="8" t="n">
        <v>0</v>
      </c>
      <c r="R42" s="8" t="n">
        <v>10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16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7</v>
      </c>
      <c r="AN42" s="8" t="n">
        <v>0</v>
      </c>
      <c r="AO42" s="8" t="n">
        <v>0</v>
      </c>
      <c r="AP42" s="8" t="n">
        <v>0</v>
      </c>
      <c r="AQ42" s="8" t="n">
        <v>0</v>
      </c>
      <c r="AR42" s="8" t="n">
        <v>0</v>
      </c>
      <c r="AS42" s="8" t="n">
        <v>0</v>
      </c>
      <c r="AT42" s="8" t="n">
        <v>0</v>
      </c>
      <c r="AU42" s="8" t="n">
        <v>0</v>
      </c>
      <c r="AV42" s="8" t="n">
        <v>0</v>
      </c>
      <c r="AW42" s="8" t="n">
        <v>0</v>
      </c>
      <c r="AX42" s="8" t="n">
        <v>0</v>
      </c>
      <c r="AY42" s="8" t="n">
        <v>2</v>
      </c>
      <c r="AZ42" s="8" t="n">
        <v>0</v>
      </c>
      <c r="BA42" s="8" t="n">
        <v>0</v>
      </c>
      <c r="BB42" s="8" t="n">
        <v>0</v>
      </c>
      <c r="BC42" s="8" t="n">
        <v>0</v>
      </c>
      <c r="BD42" s="8" t="n">
        <v>0</v>
      </c>
      <c r="BE42" s="8" t="n">
        <v>0</v>
      </c>
      <c r="BF42" s="8" t="n">
        <v>0</v>
      </c>
      <c r="BG42" s="8" t="n">
        <v>0</v>
      </c>
      <c r="BH42" s="8" t="n">
        <v>0</v>
      </c>
      <c r="BI42" s="8" t="n">
        <v>0</v>
      </c>
      <c r="BJ42" s="8" t="n">
        <v>0</v>
      </c>
      <c r="BK42" s="8" t="n">
        <v>0</v>
      </c>
      <c r="BL42" s="8" t="n">
        <v>18</v>
      </c>
      <c r="BM42" s="8" t="n">
        <v>0</v>
      </c>
      <c r="BN42" s="8" t="n">
        <v>0</v>
      </c>
      <c r="BO42" s="8" t="n">
        <v>0</v>
      </c>
      <c r="BP42" s="8" t="n">
        <v>0</v>
      </c>
      <c r="BQ42" s="8" t="n">
        <v>0</v>
      </c>
      <c r="BR42" s="8" t="n">
        <v>0</v>
      </c>
      <c r="BS42" s="8" t="n">
        <v>0</v>
      </c>
      <c r="BT42" s="8" t="n">
        <v>0</v>
      </c>
      <c r="BU42" s="8" t="n">
        <v>0</v>
      </c>
      <c r="BV42" s="8" t="n">
        <v>0</v>
      </c>
      <c r="BW42" s="8" t="n">
        <v>0</v>
      </c>
      <c r="BX42" s="8" t="n">
        <v>0</v>
      </c>
      <c r="BY42" s="8" t="n">
        <v>0</v>
      </c>
      <c r="BZ42" s="8" t="n">
        <v>0</v>
      </c>
      <c r="CA42" s="8" t="n">
        <v>0</v>
      </c>
      <c r="CB42" s="8" t="n">
        <v>0</v>
      </c>
      <c r="CC42" s="8" t="n">
        <v>0</v>
      </c>
      <c r="CD42" s="8" t="n">
        <v>0</v>
      </c>
      <c r="CE42" s="8" t="n">
        <v>0</v>
      </c>
    </row>
    <row r="43">
      <c r="A43" s="15" t="inlineStr">
        <is>
          <t>2025-09-02</t>
        </is>
      </c>
      <c r="B43" s="11" t="n">
        <v>0</v>
      </c>
      <c r="C43" s="11" t="n">
        <v>0</v>
      </c>
      <c r="D43" s="11" t="n">
        <v>0</v>
      </c>
      <c r="E43" s="11" t="n">
        <v>1</v>
      </c>
      <c r="F43" s="11" t="n">
        <v>5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6</v>
      </c>
      <c r="Q43" s="11" t="n">
        <v>0</v>
      </c>
      <c r="R43" s="11" t="n">
        <v>10</v>
      </c>
      <c r="S43" s="11" t="n">
        <v>0</v>
      </c>
      <c r="T43" s="11" t="n">
        <v>0</v>
      </c>
      <c r="U43" s="11" t="n">
        <v>0</v>
      </c>
      <c r="V43" s="11" t="n">
        <v>0</v>
      </c>
      <c r="W43" s="11" t="n">
        <v>0</v>
      </c>
      <c r="X43" s="11" t="n">
        <v>0</v>
      </c>
      <c r="Y43" s="11" t="n">
        <v>0</v>
      </c>
      <c r="Z43" s="11" t="n">
        <v>0</v>
      </c>
      <c r="AA43" s="11" t="n">
        <v>0</v>
      </c>
      <c r="AB43" s="11" t="n">
        <v>0</v>
      </c>
      <c r="AC43" s="11" t="n">
        <v>0</v>
      </c>
      <c r="AD43" s="11" t="n">
        <v>0</v>
      </c>
      <c r="AE43" s="11" t="n">
        <v>0</v>
      </c>
      <c r="AF43" s="11" t="n">
        <v>16</v>
      </c>
      <c r="AG43" s="11" t="n">
        <v>0</v>
      </c>
      <c r="AH43" s="11" t="n">
        <v>0</v>
      </c>
      <c r="AI43" s="11" t="n">
        <v>0</v>
      </c>
      <c r="AJ43" s="11" t="n">
        <v>0</v>
      </c>
      <c r="AK43" s="11" t="n">
        <v>0</v>
      </c>
      <c r="AL43" s="11" t="n">
        <v>0</v>
      </c>
      <c r="AM43" s="11" t="n">
        <v>7</v>
      </c>
      <c r="AN43" s="11" t="n">
        <v>0</v>
      </c>
      <c r="AO43" s="11" t="n">
        <v>0</v>
      </c>
      <c r="AP43" s="11" t="n">
        <v>0</v>
      </c>
      <c r="AQ43" s="11" t="n">
        <v>0</v>
      </c>
      <c r="AR43" s="11" t="n">
        <v>0</v>
      </c>
      <c r="AS43" s="11" t="n">
        <v>0</v>
      </c>
      <c r="AT43" s="11" t="n">
        <v>0</v>
      </c>
      <c r="AU43" s="11" t="n">
        <v>0</v>
      </c>
      <c r="AV43" s="11" t="n">
        <v>0</v>
      </c>
      <c r="AW43" s="11" t="n">
        <v>0</v>
      </c>
      <c r="AX43" s="11" t="n">
        <v>0</v>
      </c>
      <c r="AY43" s="11" t="n">
        <v>2</v>
      </c>
      <c r="AZ43" s="11" t="n">
        <v>0</v>
      </c>
      <c r="BA43" s="11" t="n">
        <v>0</v>
      </c>
      <c r="BB43" s="11" t="n">
        <v>0</v>
      </c>
      <c r="BC43" s="11" t="n">
        <v>0</v>
      </c>
      <c r="BD43" s="11" t="n">
        <v>0</v>
      </c>
      <c r="BE43" s="11" t="n">
        <v>0</v>
      </c>
      <c r="BF43" s="11" t="n">
        <v>0</v>
      </c>
      <c r="BG43" s="11" t="n">
        <v>0</v>
      </c>
      <c r="BH43" s="11" t="n">
        <v>0</v>
      </c>
      <c r="BI43" s="11" t="n">
        <v>0</v>
      </c>
      <c r="BJ43" s="11" t="n">
        <v>0</v>
      </c>
      <c r="BK43" s="11" t="n">
        <v>0</v>
      </c>
      <c r="BL43" s="11" t="n">
        <v>18</v>
      </c>
      <c r="BM43" s="11" t="n">
        <v>0</v>
      </c>
      <c r="BN43" s="11" t="n">
        <v>0</v>
      </c>
      <c r="BO43" s="11" t="n">
        <v>0</v>
      </c>
      <c r="BP43" s="11" t="n">
        <v>0</v>
      </c>
      <c r="BQ43" s="11" t="n">
        <v>0</v>
      </c>
      <c r="BR43" s="11" t="n">
        <v>0</v>
      </c>
      <c r="BS43" s="11" t="n">
        <v>0</v>
      </c>
      <c r="BT43" s="11" t="n">
        <v>0</v>
      </c>
      <c r="BU43" s="11" t="n">
        <v>0</v>
      </c>
      <c r="BV43" s="11" t="n">
        <v>0</v>
      </c>
      <c r="BW43" s="11" t="n">
        <v>0</v>
      </c>
      <c r="BX43" s="11" t="n">
        <v>0</v>
      </c>
      <c r="BY43" s="11" t="n">
        <v>0</v>
      </c>
      <c r="BZ43" s="11" t="n">
        <v>0</v>
      </c>
      <c r="CA43" s="11" t="n">
        <v>0</v>
      </c>
      <c r="CB43" s="11" t="n">
        <v>0</v>
      </c>
      <c r="CC43" s="11" t="n">
        <v>0</v>
      </c>
      <c r="CD43" s="11" t="n">
        <v>0</v>
      </c>
      <c r="CE43" s="11" t="n">
        <v>0</v>
      </c>
    </row>
    <row r="44">
      <c r="A44" s="14" t="inlineStr">
        <is>
          <t>2025-09-03</t>
        </is>
      </c>
      <c r="B44" s="8" t="n">
        <v>0</v>
      </c>
      <c r="C44" s="8" t="n">
        <v>0</v>
      </c>
      <c r="D44" s="8" t="n">
        <v>0</v>
      </c>
      <c r="E44" s="8" t="n">
        <v>1</v>
      </c>
      <c r="F44" s="8" t="n">
        <v>5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6</v>
      </c>
      <c r="Q44" s="8" t="n">
        <v>0</v>
      </c>
      <c r="R44" s="8" t="n">
        <v>10</v>
      </c>
      <c r="S44" s="8" t="n">
        <v>0</v>
      </c>
      <c r="T44" s="8" t="n">
        <v>0</v>
      </c>
      <c r="U44" s="8" t="n">
        <v>1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16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R44" s="8" t="n">
        <v>0</v>
      </c>
      <c r="AS44" s="8" t="n">
        <v>2</v>
      </c>
      <c r="AT44" s="8" t="n">
        <v>0</v>
      </c>
      <c r="AU44" s="8" t="n">
        <v>0</v>
      </c>
      <c r="AV44" s="8" t="n">
        <v>0</v>
      </c>
      <c r="AW44" s="8" t="n">
        <v>0</v>
      </c>
      <c r="AX44" s="8" t="n">
        <v>0</v>
      </c>
      <c r="AY44" s="8" t="n">
        <v>2</v>
      </c>
      <c r="AZ44" s="8" t="n">
        <v>0</v>
      </c>
      <c r="BA44" s="8" t="n">
        <v>0</v>
      </c>
      <c r="BB44" s="8" t="n">
        <v>0</v>
      </c>
      <c r="BC44" s="8" t="n">
        <v>0</v>
      </c>
      <c r="BD44" s="8" t="n">
        <v>0</v>
      </c>
      <c r="BE44" s="8" t="n">
        <v>0</v>
      </c>
      <c r="BF44" s="8" t="n">
        <v>0</v>
      </c>
      <c r="BG44" s="8" t="n">
        <v>0</v>
      </c>
      <c r="BH44" s="8" t="n">
        <v>0</v>
      </c>
      <c r="BI44" s="8" t="n">
        <v>0</v>
      </c>
      <c r="BJ44" s="8" t="n">
        <v>0</v>
      </c>
      <c r="BK44" s="8" t="n">
        <v>0</v>
      </c>
      <c r="BL44" s="8" t="n">
        <v>18</v>
      </c>
      <c r="BM44" s="8" t="n">
        <v>0</v>
      </c>
      <c r="BN44" s="8" t="n">
        <v>0</v>
      </c>
      <c r="BO44" s="8" t="n">
        <v>0</v>
      </c>
      <c r="BP44" s="8" t="n">
        <v>0</v>
      </c>
      <c r="BQ44" s="8" t="n">
        <v>0</v>
      </c>
      <c r="BR44" s="8" t="n">
        <v>0</v>
      </c>
      <c r="BS44" s="8" t="n">
        <v>0</v>
      </c>
      <c r="BT44" s="8" t="n">
        <v>0</v>
      </c>
      <c r="BU44" s="8" t="n">
        <v>0</v>
      </c>
      <c r="BV44" s="8" t="n">
        <v>0</v>
      </c>
      <c r="BW44" s="8" t="n">
        <v>0</v>
      </c>
      <c r="BX44" s="8" t="n">
        <v>0</v>
      </c>
      <c r="BY44" s="8" t="n">
        <v>0</v>
      </c>
      <c r="BZ44" s="8" t="n">
        <v>0</v>
      </c>
      <c r="CA44" s="8" t="n">
        <v>0</v>
      </c>
      <c r="CB44" s="8" t="n">
        <v>0</v>
      </c>
      <c r="CC44" s="8" t="n">
        <v>0</v>
      </c>
      <c r="CD44" s="8" t="n">
        <v>0</v>
      </c>
      <c r="CE44" s="8" t="n">
        <v>0</v>
      </c>
    </row>
    <row r="45">
      <c r="A45" s="15" t="inlineStr">
        <is>
          <t>2025-09-04</t>
        </is>
      </c>
      <c r="B45" s="11" t="n">
        <v>0</v>
      </c>
      <c r="C45" s="11" t="n">
        <v>0</v>
      </c>
      <c r="D45" s="11" t="n">
        <v>0</v>
      </c>
      <c r="E45" s="11" t="n">
        <v>1</v>
      </c>
      <c r="F45" s="11" t="n">
        <v>5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6</v>
      </c>
      <c r="Q45" s="11" t="n">
        <v>0</v>
      </c>
      <c r="R45" s="11" t="n">
        <v>10</v>
      </c>
      <c r="S45" s="11" t="n">
        <v>0</v>
      </c>
      <c r="T45" s="11" t="n">
        <v>0</v>
      </c>
      <c r="U45" s="11" t="n">
        <v>1</v>
      </c>
      <c r="V45" s="11" t="n">
        <v>0</v>
      </c>
      <c r="W45" s="11" t="n">
        <v>0</v>
      </c>
      <c r="X45" s="11" t="n">
        <v>0</v>
      </c>
      <c r="Y45" s="11" t="n">
        <v>0</v>
      </c>
      <c r="Z45" s="11" t="n">
        <v>0</v>
      </c>
      <c r="AA45" s="11" t="n">
        <v>0</v>
      </c>
      <c r="AB45" s="11" t="n">
        <v>0</v>
      </c>
      <c r="AC45" s="11" t="n">
        <v>0</v>
      </c>
      <c r="AD45" s="11" t="n">
        <v>0</v>
      </c>
      <c r="AE45" s="11" t="n">
        <v>0</v>
      </c>
      <c r="AF45" s="11" t="n">
        <v>16</v>
      </c>
      <c r="AG45" s="11" t="n">
        <v>0</v>
      </c>
      <c r="AH45" s="11" t="n">
        <v>0</v>
      </c>
      <c r="AI45" s="11" t="n">
        <v>0</v>
      </c>
      <c r="AJ45" s="11" t="n">
        <v>0</v>
      </c>
      <c r="AK45" s="11" t="n">
        <v>0</v>
      </c>
      <c r="AL45" s="11" t="n">
        <v>0</v>
      </c>
      <c r="AM45" s="11" t="n">
        <v>0</v>
      </c>
      <c r="AN45" s="11" t="n">
        <v>0</v>
      </c>
      <c r="AO45" s="11" t="n">
        <v>0</v>
      </c>
      <c r="AP45" s="11" t="n">
        <v>0</v>
      </c>
      <c r="AQ45" s="11" t="n">
        <v>0</v>
      </c>
      <c r="AR45" s="11" t="n">
        <v>0</v>
      </c>
      <c r="AS45" s="11" t="n">
        <v>2</v>
      </c>
      <c r="AT45" s="11" t="n">
        <v>0</v>
      </c>
      <c r="AU45" s="11" t="n">
        <v>0</v>
      </c>
      <c r="AV45" s="11" t="n">
        <v>0</v>
      </c>
      <c r="AW45" s="11" t="n">
        <v>0</v>
      </c>
      <c r="AX45" s="11" t="n">
        <v>0</v>
      </c>
      <c r="AY45" s="11" t="n">
        <v>2</v>
      </c>
      <c r="AZ45" s="11" t="n">
        <v>0</v>
      </c>
      <c r="BA45" s="11" t="n">
        <v>2</v>
      </c>
      <c r="BB45" s="11" t="n">
        <v>0</v>
      </c>
      <c r="BC45" s="11" t="n">
        <v>0</v>
      </c>
      <c r="BD45" s="11" t="n">
        <v>0</v>
      </c>
      <c r="BE45" s="11" t="n">
        <v>0</v>
      </c>
      <c r="BF45" s="11" t="n">
        <v>0</v>
      </c>
      <c r="BG45" s="11" t="n">
        <v>0</v>
      </c>
      <c r="BH45" s="11" t="n">
        <v>0</v>
      </c>
      <c r="BI45" s="11" t="n">
        <v>0</v>
      </c>
      <c r="BJ45" s="11" t="n">
        <v>0</v>
      </c>
      <c r="BK45" s="11" t="n">
        <v>0</v>
      </c>
      <c r="BL45" s="11" t="n">
        <v>18</v>
      </c>
      <c r="BM45" s="11" t="n">
        <v>0</v>
      </c>
      <c r="BN45" s="11" t="n">
        <v>0</v>
      </c>
      <c r="BO45" s="11" t="n">
        <v>0</v>
      </c>
      <c r="BP45" s="11" t="n">
        <v>0</v>
      </c>
      <c r="BQ45" s="11" t="n">
        <v>0</v>
      </c>
      <c r="BR45" s="11" t="n">
        <v>0</v>
      </c>
      <c r="BS45" s="11" t="n">
        <v>0</v>
      </c>
      <c r="BT45" s="11" t="n">
        <v>0</v>
      </c>
      <c r="BU45" s="11" t="n">
        <v>0</v>
      </c>
      <c r="BV45" s="11" t="n">
        <v>0</v>
      </c>
      <c r="BW45" s="11" t="n">
        <v>0</v>
      </c>
      <c r="BX45" s="11" t="n">
        <v>0</v>
      </c>
      <c r="BY45" s="11" t="n">
        <v>0</v>
      </c>
      <c r="BZ45" s="11" t="n">
        <v>0</v>
      </c>
      <c r="CA45" s="11" t="n">
        <v>0</v>
      </c>
      <c r="CB45" s="11" t="n">
        <v>0</v>
      </c>
      <c r="CC45" s="11" t="n">
        <v>0</v>
      </c>
      <c r="CD45" s="11" t="n">
        <v>0</v>
      </c>
      <c r="CE45" s="11" t="n">
        <v>0</v>
      </c>
    </row>
    <row r="46">
      <c r="A46" s="14" t="inlineStr">
        <is>
          <t>2025-09-05</t>
        </is>
      </c>
      <c r="B46" s="8" t="n">
        <v>0</v>
      </c>
      <c r="C46" s="8" t="n">
        <v>0</v>
      </c>
      <c r="D46" s="8" t="n">
        <v>0</v>
      </c>
      <c r="E46" s="8" t="n">
        <v>1</v>
      </c>
      <c r="F46" s="8" t="n">
        <v>5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6</v>
      </c>
      <c r="Q46" s="8" t="n">
        <v>0</v>
      </c>
      <c r="R46" s="8" t="n">
        <v>10</v>
      </c>
      <c r="S46" s="8" t="n">
        <v>0</v>
      </c>
      <c r="T46" s="8" t="n">
        <v>0</v>
      </c>
      <c r="U46" s="8" t="n">
        <v>1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16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R46" s="8" t="n">
        <v>0</v>
      </c>
      <c r="AS46" s="8" t="n">
        <v>2</v>
      </c>
      <c r="AT46" s="8" t="n">
        <v>0</v>
      </c>
      <c r="AU46" s="8" t="n">
        <v>0</v>
      </c>
      <c r="AV46" s="8" t="n">
        <v>0</v>
      </c>
      <c r="AW46" s="8" t="n">
        <v>0</v>
      </c>
      <c r="AX46" s="8" t="n">
        <v>0</v>
      </c>
      <c r="AY46" s="8" t="n">
        <v>2</v>
      </c>
      <c r="AZ46" s="8" t="n">
        <v>0</v>
      </c>
      <c r="BA46" s="8" t="n">
        <v>2</v>
      </c>
      <c r="BB46" s="8" t="n">
        <v>0</v>
      </c>
      <c r="BC46" s="8" t="n">
        <v>0</v>
      </c>
      <c r="BD46" s="8" t="n">
        <v>0</v>
      </c>
      <c r="BE46" s="8" t="n">
        <v>0</v>
      </c>
      <c r="BF46" s="8" t="n">
        <v>0</v>
      </c>
      <c r="BG46" s="8" t="n">
        <v>0</v>
      </c>
      <c r="BH46" s="8" t="n">
        <v>0</v>
      </c>
      <c r="BI46" s="8" t="n">
        <v>0</v>
      </c>
      <c r="BJ46" s="8" t="n">
        <v>0</v>
      </c>
      <c r="BK46" s="8" t="n">
        <v>0</v>
      </c>
      <c r="BL46" s="8" t="n">
        <v>18</v>
      </c>
      <c r="BM46" s="8" t="n">
        <v>0</v>
      </c>
      <c r="BN46" s="8" t="n">
        <v>0</v>
      </c>
      <c r="BO46" s="8" t="n">
        <v>0</v>
      </c>
      <c r="BP46" s="8" t="n">
        <v>0</v>
      </c>
      <c r="BQ46" s="8" t="n">
        <v>0</v>
      </c>
      <c r="BR46" s="8" t="n">
        <v>0</v>
      </c>
      <c r="BS46" s="8" t="n">
        <v>0</v>
      </c>
      <c r="BT46" s="8" t="n">
        <v>0</v>
      </c>
      <c r="BU46" s="8" t="n">
        <v>0</v>
      </c>
      <c r="BV46" s="8" t="n">
        <v>0</v>
      </c>
      <c r="BW46" s="8" t="n">
        <v>0</v>
      </c>
      <c r="BX46" s="8" t="n">
        <v>0</v>
      </c>
      <c r="BY46" s="8" t="n">
        <v>0</v>
      </c>
      <c r="BZ46" s="8" t="n">
        <v>0</v>
      </c>
      <c r="CA46" s="8" t="n">
        <v>0</v>
      </c>
      <c r="CB46" s="8" t="n">
        <v>0</v>
      </c>
      <c r="CC46" s="8" t="n">
        <v>0</v>
      </c>
      <c r="CD46" s="8" t="n">
        <v>0</v>
      </c>
      <c r="CE46" s="8" t="n">
        <v>0</v>
      </c>
    </row>
    <row r="47">
      <c r="A47" s="15" t="inlineStr">
        <is>
          <t>2025-09-08</t>
        </is>
      </c>
      <c r="B47" s="11" t="n">
        <v>0</v>
      </c>
      <c r="C47" s="11" t="n">
        <v>0</v>
      </c>
      <c r="D47" s="11" t="n">
        <v>0</v>
      </c>
      <c r="E47" s="11" t="n">
        <v>1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6</v>
      </c>
      <c r="Q47" s="11" t="n">
        <v>0</v>
      </c>
      <c r="R47" s="11" t="n">
        <v>10</v>
      </c>
      <c r="S47" s="11" t="n">
        <v>0</v>
      </c>
      <c r="T47" s="11" t="n">
        <v>0</v>
      </c>
      <c r="U47" s="11" t="n">
        <v>1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0</v>
      </c>
      <c r="AD47" s="11" t="n">
        <v>0</v>
      </c>
      <c r="AE47" s="11" t="n">
        <v>0</v>
      </c>
      <c r="AF47" s="11" t="n">
        <v>16</v>
      </c>
      <c r="AG47" s="11" t="n">
        <v>0</v>
      </c>
      <c r="AH47" s="11" t="n">
        <v>0</v>
      </c>
      <c r="AI47" s="11" t="n">
        <v>0</v>
      </c>
      <c r="AJ47" s="11" t="n">
        <v>0</v>
      </c>
      <c r="AK47" s="11" t="n">
        <v>0</v>
      </c>
      <c r="AL47" s="11" t="n">
        <v>0</v>
      </c>
      <c r="AM47" s="11" t="n">
        <v>0</v>
      </c>
      <c r="AN47" s="11" t="n">
        <v>2</v>
      </c>
      <c r="AO47" s="11" t="n">
        <v>0</v>
      </c>
      <c r="AP47" s="11" t="n">
        <v>0</v>
      </c>
      <c r="AQ47" s="11" t="n">
        <v>0</v>
      </c>
      <c r="AR47" s="11" t="n">
        <v>0</v>
      </c>
      <c r="AS47" s="11" t="n">
        <v>2</v>
      </c>
      <c r="AT47" s="11" t="n">
        <v>0</v>
      </c>
      <c r="AU47" s="11" t="n">
        <v>0</v>
      </c>
      <c r="AV47" s="11" t="n">
        <v>0</v>
      </c>
      <c r="AW47" s="11" t="n">
        <v>0</v>
      </c>
      <c r="AX47" s="11" t="n">
        <v>0</v>
      </c>
      <c r="AY47" s="11" t="n">
        <v>0</v>
      </c>
      <c r="AZ47" s="11" t="n">
        <v>0</v>
      </c>
      <c r="BA47" s="11" t="n">
        <v>2</v>
      </c>
      <c r="BB47" s="11" t="n">
        <v>0</v>
      </c>
      <c r="BC47" s="11" t="n">
        <v>0</v>
      </c>
      <c r="BD47" s="11" t="n">
        <v>0</v>
      </c>
      <c r="BE47" s="11" t="n">
        <v>0</v>
      </c>
      <c r="BF47" s="11" t="n">
        <v>0</v>
      </c>
      <c r="BG47" s="11" t="n">
        <v>0</v>
      </c>
      <c r="BH47" s="11" t="n">
        <v>0</v>
      </c>
      <c r="BI47" s="11" t="n">
        <v>0</v>
      </c>
      <c r="BJ47" s="11" t="n">
        <v>0</v>
      </c>
      <c r="BK47" s="11" t="n">
        <v>0</v>
      </c>
      <c r="BL47" s="11" t="n">
        <v>18</v>
      </c>
      <c r="BM47" s="11" t="n">
        <v>0</v>
      </c>
      <c r="BN47" s="11" t="n">
        <v>0</v>
      </c>
      <c r="BO47" s="11" t="n">
        <v>0</v>
      </c>
      <c r="BP47" s="11" t="n">
        <v>0</v>
      </c>
      <c r="BQ47" s="11" t="n">
        <v>0</v>
      </c>
      <c r="BR47" s="11" t="n">
        <v>0</v>
      </c>
      <c r="BS47" s="11" t="n">
        <v>0</v>
      </c>
      <c r="BT47" s="11" t="n">
        <v>0</v>
      </c>
      <c r="BU47" s="11" t="n">
        <v>0</v>
      </c>
      <c r="BV47" s="11" t="n">
        <v>0</v>
      </c>
      <c r="BW47" s="11" t="n">
        <v>0</v>
      </c>
      <c r="BX47" s="11" t="n">
        <v>0</v>
      </c>
      <c r="BY47" s="11" t="n">
        <v>0</v>
      </c>
      <c r="BZ47" s="11" t="n">
        <v>0</v>
      </c>
      <c r="CA47" s="11" t="n">
        <v>0</v>
      </c>
      <c r="CB47" s="11" t="n">
        <v>0</v>
      </c>
      <c r="CC47" s="11" t="n">
        <v>0</v>
      </c>
      <c r="CD47" s="11" t="n">
        <v>0</v>
      </c>
      <c r="CE47" s="11" t="n">
        <v>0</v>
      </c>
    </row>
    <row r="48">
      <c r="A48" s="14" t="inlineStr">
        <is>
          <t>2025-09-09</t>
        </is>
      </c>
      <c r="B48" s="8" t="n">
        <v>0</v>
      </c>
      <c r="C48" s="8" t="n">
        <v>0</v>
      </c>
      <c r="D48" s="8" t="n">
        <v>0</v>
      </c>
      <c r="E48" s="8" t="n">
        <v>1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6</v>
      </c>
      <c r="Q48" s="8" t="n">
        <v>0</v>
      </c>
      <c r="R48" s="8" t="n">
        <v>10</v>
      </c>
      <c r="S48" s="8" t="n">
        <v>0</v>
      </c>
      <c r="T48" s="8" t="n">
        <v>0</v>
      </c>
      <c r="U48" s="8" t="n">
        <v>1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16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2</v>
      </c>
      <c r="AO48" s="8" t="n">
        <v>0</v>
      </c>
      <c r="AP48" s="8" t="n">
        <v>0</v>
      </c>
      <c r="AQ48" s="8" t="n">
        <v>0</v>
      </c>
      <c r="AR48" s="8" t="n">
        <v>0</v>
      </c>
      <c r="AS48" s="8" t="n">
        <v>4</v>
      </c>
      <c r="AT48" s="8" t="n">
        <v>0</v>
      </c>
      <c r="AU48" s="8" t="n">
        <v>0</v>
      </c>
      <c r="AV48" s="8" t="n">
        <v>0</v>
      </c>
      <c r="AW48" s="8" t="n">
        <v>0</v>
      </c>
      <c r="AX48" s="8" t="n">
        <v>0</v>
      </c>
      <c r="AY48" s="8" t="n">
        <v>0</v>
      </c>
      <c r="AZ48" s="8" t="n">
        <v>0</v>
      </c>
      <c r="BA48" s="8" t="n">
        <v>2</v>
      </c>
      <c r="BB48" s="8" t="n">
        <v>0</v>
      </c>
      <c r="BC48" s="8" t="n">
        <v>0</v>
      </c>
      <c r="BD48" s="8" t="n">
        <v>0</v>
      </c>
      <c r="BE48" s="8" t="n">
        <v>0</v>
      </c>
      <c r="BF48" s="8" t="n">
        <v>0</v>
      </c>
      <c r="BG48" s="8" t="n">
        <v>0</v>
      </c>
      <c r="BH48" s="8" t="n">
        <v>0</v>
      </c>
      <c r="BI48" s="8" t="n">
        <v>0</v>
      </c>
      <c r="BJ48" s="8" t="n">
        <v>0</v>
      </c>
      <c r="BK48" s="8" t="n">
        <v>0</v>
      </c>
      <c r="BL48" s="8" t="n">
        <v>18</v>
      </c>
      <c r="BM48" s="8" t="n">
        <v>0</v>
      </c>
      <c r="BN48" s="8" t="n">
        <v>6</v>
      </c>
      <c r="BO48" s="8" t="n">
        <v>0</v>
      </c>
      <c r="BP48" s="8" t="n">
        <v>0</v>
      </c>
      <c r="BQ48" s="8" t="n">
        <v>0</v>
      </c>
      <c r="BR48" s="8" t="n">
        <v>0</v>
      </c>
      <c r="BS48" s="8" t="n">
        <v>0</v>
      </c>
      <c r="BT48" s="8" t="n">
        <v>0</v>
      </c>
      <c r="BU48" s="8" t="n">
        <v>0</v>
      </c>
      <c r="BV48" s="8" t="n">
        <v>0</v>
      </c>
      <c r="BW48" s="8" t="n">
        <v>0</v>
      </c>
      <c r="BX48" s="8" t="n">
        <v>0</v>
      </c>
      <c r="BY48" s="8" t="n">
        <v>0</v>
      </c>
      <c r="BZ48" s="8" t="n">
        <v>0</v>
      </c>
      <c r="CA48" s="8" t="n">
        <v>0</v>
      </c>
      <c r="CB48" s="8" t="n">
        <v>0</v>
      </c>
      <c r="CC48" s="8" t="n">
        <v>0</v>
      </c>
      <c r="CD48" s="8" t="n">
        <v>0</v>
      </c>
      <c r="CE48" s="8" t="n">
        <v>0</v>
      </c>
    </row>
    <row r="49">
      <c r="A49" s="15" t="inlineStr">
        <is>
          <t>2025-09-10</t>
        </is>
      </c>
      <c r="B49" s="11" t="n">
        <v>0</v>
      </c>
      <c r="C49" s="11" t="n">
        <v>0</v>
      </c>
      <c r="D49" s="11" t="n">
        <v>0</v>
      </c>
      <c r="E49" s="11" t="n">
        <v>1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6</v>
      </c>
      <c r="Q49" s="11" t="n">
        <v>0</v>
      </c>
      <c r="R49" s="11" t="n">
        <v>10</v>
      </c>
      <c r="S49" s="11" t="n">
        <v>0</v>
      </c>
      <c r="T49" s="11" t="n">
        <v>0</v>
      </c>
      <c r="U49" s="11" t="n">
        <v>1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16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2</v>
      </c>
      <c r="AO49" s="11" t="n">
        <v>0</v>
      </c>
      <c r="AP49" s="11" t="n">
        <v>0</v>
      </c>
      <c r="AQ49" s="11" t="n">
        <v>0</v>
      </c>
      <c r="AR49" s="11" t="n">
        <v>0</v>
      </c>
      <c r="AS49" s="11" t="n">
        <v>4</v>
      </c>
      <c r="AT49" s="11" t="n">
        <v>0</v>
      </c>
      <c r="AU49" s="11" t="n">
        <v>0</v>
      </c>
      <c r="AV49" s="11" t="n">
        <v>0</v>
      </c>
      <c r="AW49" s="11" t="n">
        <v>0</v>
      </c>
      <c r="AX49" s="11" t="n">
        <v>0</v>
      </c>
      <c r="AY49" s="11" t="n">
        <v>0</v>
      </c>
      <c r="AZ49" s="11" t="n">
        <v>0</v>
      </c>
      <c r="BA49" s="11" t="n">
        <v>2</v>
      </c>
      <c r="BB49" s="11" t="n">
        <v>0</v>
      </c>
      <c r="BC49" s="11" t="n">
        <v>0</v>
      </c>
      <c r="BD49" s="11" t="n">
        <v>0</v>
      </c>
      <c r="BE49" s="11" t="n">
        <v>0</v>
      </c>
      <c r="BF49" s="11" t="n">
        <v>0</v>
      </c>
      <c r="BG49" s="11" t="n">
        <v>0</v>
      </c>
      <c r="BH49" s="11" t="n">
        <v>0</v>
      </c>
      <c r="BI49" s="11" t="n">
        <v>0</v>
      </c>
      <c r="BJ49" s="11" t="n">
        <v>0</v>
      </c>
      <c r="BK49" s="11" t="n">
        <v>0</v>
      </c>
      <c r="BL49" s="11" t="n">
        <v>18</v>
      </c>
      <c r="BM49" s="11" t="n">
        <v>0</v>
      </c>
      <c r="BN49" s="11" t="n">
        <v>6</v>
      </c>
      <c r="BO49" s="11" t="n">
        <v>0</v>
      </c>
      <c r="BP49" s="11" t="n">
        <v>0</v>
      </c>
      <c r="BQ49" s="11" t="n">
        <v>0</v>
      </c>
      <c r="BR49" s="11" t="n">
        <v>0</v>
      </c>
      <c r="BS49" s="11" t="n">
        <v>0</v>
      </c>
      <c r="BT49" s="11" t="n">
        <v>0</v>
      </c>
      <c r="BU49" s="11" t="n">
        <v>0</v>
      </c>
      <c r="BV49" s="11" t="n">
        <v>0</v>
      </c>
      <c r="BW49" s="11" t="n">
        <v>0</v>
      </c>
      <c r="BX49" s="11" t="n">
        <v>0</v>
      </c>
      <c r="BY49" s="11" t="n">
        <v>0</v>
      </c>
      <c r="BZ49" s="11" t="n">
        <v>0</v>
      </c>
      <c r="CA49" s="11" t="n">
        <v>0</v>
      </c>
      <c r="CB49" s="11" t="n">
        <v>0</v>
      </c>
      <c r="CC49" s="11" t="n">
        <v>0</v>
      </c>
      <c r="CD49" s="11" t="n">
        <v>0</v>
      </c>
      <c r="CE49" s="11" t="n">
        <v>0</v>
      </c>
    </row>
    <row r="50">
      <c r="A50" s="14" t="inlineStr">
        <is>
          <t>2025-09-11</t>
        </is>
      </c>
      <c r="B50" s="8" t="n">
        <v>0</v>
      </c>
      <c r="C50" s="8" t="n">
        <v>0</v>
      </c>
      <c r="D50" s="8" t="n">
        <v>0</v>
      </c>
      <c r="E50" s="8" t="n">
        <v>1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6</v>
      </c>
      <c r="Q50" s="8" t="n">
        <v>0</v>
      </c>
      <c r="R50" s="8" t="n">
        <v>10</v>
      </c>
      <c r="S50" s="8" t="n">
        <v>0</v>
      </c>
      <c r="T50" s="8" t="n">
        <v>0</v>
      </c>
      <c r="U50" s="8" t="n">
        <v>1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16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2</v>
      </c>
      <c r="AO50" s="8" t="n">
        <v>0</v>
      </c>
      <c r="AP50" s="8" t="n">
        <v>0</v>
      </c>
      <c r="AQ50" s="8" t="n">
        <v>0</v>
      </c>
      <c r="AR50" s="8" t="n">
        <v>0</v>
      </c>
      <c r="AS50" s="8" t="n">
        <v>4</v>
      </c>
      <c r="AT50" s="8" t="n">
        <v>0</v>
      </c>
      <c r="AU50" s="8" t="n">
        <v>0</v>
      </c>
      <c r="AV50" s="8" t="n">
        <v>0</v>
      </c>
      <c r="AW50" s="8" t="n">
        <v>0</v>
      </c>
      <c r="AX50" s="8" t="n">
        <v>0</v>
      </c>
      <c r="AY50" s="8" t="n">
        <v>0</v>
      </c>
      <c r="AZ50" s="8" t="n">
        <v>0</v>
      </c>
      <c r="BA50" s="8" t="n">
        <v>2</v>
      </c>
      <c r="BB50" s="8" t="n">
        <v>0</v>
      </c>
      <c r="BC50" s="8" t="n">
        <v>0</v>
      </c>
      <c r="BD50" s="8" t="n">
        <v>0</v>
      </c>
      <c r="BE50" s="8" t="n">
        <v>0</v>
      </c>
      <c r="BF50" s="8" t="n">
        <v>0</v>
      </c>
      <c r="BG50" s="8" t="n">
        <v>0</v>
      </c>
      <c r="BH50" s="8" t="n">
        <v>0</v>
      </c>
      <c r="BI50" s="8" t="n">
        <v>0</v>
      </c>
      <c r="BJ50" s="8" t="n">
        <v>0</v>
      </c>
      <c r="BK50" s="8" t="n">
        <v>0</v>
      </c>
      <c r="BL50" s="8" t="n">
        <v>18</v>
      </c>
      <c r="BM50" s="8" t="n">
        <v>0</v>
      </c>
      <c r="BN50" s="8" t="n">
        <v>6</v>
      </c>
      <c r="BO50" s="8" t="n">
        <v>0</v>
      </c>
      <c r="BP50" s="8" t="n">
        <v>0</v>
      </c>
      <c r="BQ50" s="8" t="n">
        <v>0</v>
      </c>
      <c r="BR50" s="8" t="n">
        <v>0</v>
      </c>
      <c r="BS50" s="8" t="n">
        <v>0</v>
      </c>
      <c r="BT50" s="8" t="n">
        <v>0</v>
      </c>
      <c r="BU50" s="8" t="n">
        <v>0</v>
      </c>
      <c r="BV50" s="8" t="n">
        <v>0</v>
      </c>
      <c r="BW50" s="8" t="n">
        <v>0</v>
      </c>
      <c r="BX50" s="8" t="n">
        <v>0</v>
      </c>
      <c r="BY50" s="8" t="n">
        <v>0</v>
      </c>
      <c r="BZ50" s="8" t="n">
        <v>0</v>
      </c>
      <c r="CA50" s="8" t="n">
        <v>0</v>
      </c>
      <c r="CB50" s="8" t="n">
        <v>0</v>
      </c>
      <c r="CC50" s="8" t="n">
        <v>0</v>
      </c>
      <c r="CD50" s="8" t="n">
        <v>0</v>
      </c>
      <c r="CE50" s="8" t="n">
        <v>0</v>
      </c>
    </row>
    <row r="51">
      <c r="A51" s="15" t="inlineStr">
        <is>
          <t>2025-09-12</t>
        </is>
      </c>
      <c r="B51" s="11" t="n">
        <v>0</v>
      </c>
      <c r="C51" s="11" t="n">
        <v>0</v>
      </c>
      <c r="D51" s="11" t="n">
        <v>0</v>
      </c>
      <c r="E51" s="11" t="n">
        <v>1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  <c r="P51" s="11" t="n">
        <v>6</v>
      </c>
      <c r="Q51" s="11" t="n">
        <v>0</v>
      </c>
      <c r="R51" s="11" t="n">
        <v>10</v>
      </c>
      <c r="S51" s="11" t="n">
        <v>0</v>
      </c>
      <c r="T51" s="11" t="n">
        <v>0</v>
      </c>
      <c r="U51" s="11" t="n">
        <v>1</v>
      </c>
      <c r="V51" s="11" t="n">
        <v>0</v>
      </c>
      <c r="W51" s="11" t="n">
        <v>0</v>
      </c>
      <c r="X51" s="11" t="n">
        <v>0</v>
      </c>
      <c r="Y51" s="11" t="n">
        <v>0</v>
      </c>
      <c r="Z51" s="11" t="n">
        <v>0</v>
      </c>
      <c r="AA51" s="11" t="n">
        <v>0</v>
      </c>
      <c r="AB51" s="11" t="n">
        <v>0</v>
      </c>
      <c r="AC51" s="11" t="n">
        <v>0</v>
      </c>
      <c r="AD51" s="11" t="n">
        <v>0</v>
      </c>
      <c r="AE51" s="11" t="n">
        <v>0</v>
      </c>
      <c r="AF51" s="11" t="n">
        <v>16</v>
      </c>
      <c r="AG51" s="11" t="n">
        <v>0</v>
      </c>
      <c r="AH51" s="11" t="n">
        <v>0</v>
      </c>
      <c r="AI51" s="11" t="n">
        <v>0</v>
      </c>
      <c r="AJ51" s="11" t="n">
        <v>0</v>
      </c>
      <c r="AK51" s="11" t="n">
        <v>0</v>
      </c>
      <c r="AL51" s="11" t="n">
        <v>0</v>
      </c>
      <c r="AM51" s="11" t="n">
        <v>0</v>
      </c>
      <c r="AN51" s="11" t="n">
        <v>2</v>
      </c>
      <c r="AO51" s="11" t="n">
        <v>0</v>
      </c>
      <c r="AP51" s="11" t="n">
        <v>0</v>
      </c>
      <c r="AQ51" s="11" t="n">
        <v>0</v>
      </c>
      <c r="AR51" s="11" t="n">
        <v>0</v>
      </c>
      <c r="AS51" s="11" t="n">
        <v>4</v>
      </c>
      <c r="AT51" s="11" t="n">
        <v>0</v>
      </c>
      <c r="AU51" s="11" t="n">
        <v>0</v>
      </c>
      <c r="AV51" s="11" t="n">
        <v>0</v>
      </c>
      <c r="AW51" s="11" t="n">
        <v>0</v>
      </c>
      <c r="AX51" s="11" t="n">
        <v>0</v>
      </c>
      <c r="AY51" s="11" t="n">
        <v>0</v>
      </c>
      <c r="AZ51" s="11" t="n">
        <v>3</v>
      </c>
      <c r="BA51" s="11" t="n">
        <v>2</v>
      </c>
      <c r="BB51" s="11" t="n">
        <v>0</v>
      </c>
      <c r="BC51" s="11" t="n">
        <v>0</v>
      </c>
      <c r="BD51" s="11" t="n">
        <v>0</v>
      </c>
      <c r="BE51" s="11" t="n">
        <v>0</v>
      </c>
      <c r="BF51" s="11" t="n">
        <v>0</v>
      </c>
      <c r="BG51" s="11" t="n">
        <v>0</v>
      </c>
      <c r="BH51" s="11" t="n">
        <v>0</v>
      </c>
      <c r="BI51" s="11" t="n">
        <v>0</v>
      </c>
      <c r="BJ51" s="11" t="n">
        <v>0</v>
      </c>
      <c r="BK51" s="11" t="n">
        <v>0</v>
      </c>
      <c r="BL51" s="11" t="n">
        <v>18</v>
      </c>
      <c r="BM51" s="11" t="n">
        <v>0</v>
      </c>
      <c r="BN51" s="11" t="n">
        <v>6</v>
      </c>
      <c r="BO51" s="11" t="n">
        <v>0</v>
      </c>
      <c r="BP51" s="11" t="n">
        <v>0</v>
      </c>
      <c r="BQ51" s="11" t="n">
        <v>0</v>
      </c>
      <c r="BR51" s="11" t="n">
        <v>0</v>
      </c>
      <c r="BS51" s="11" t="n">
        <v>0</v>
      </c>
      <c r="BT51" s="11" t="n">
        <v>0</v>
      </c>
      <c r="BU51" s="11" t="n">
        <v>0</v>
      </c>
      <c r="BV51" s="11" t="n">
        <v>0</v>
      </c>
      <c r="BW51" s="11" t="n">
        <v>0</v>
      </c>
      <c r="BX51" s="11" t="n">
        <v>0</v>
      </c>
      <c r="BY51" s="11" t="n">
        <v>0</v>
      </c>
      <c r="BZ51" s="11" t="n">
        <v>0</v>
      </c>
      <c r="CA51" s="11" t="n">
        <v>0</v>
      </c>
      <c r="CB51" s="11" t="n">
        <v>0</v>
      </c>
      <c r="CC51" s="11" t="n">
        <v>0</v>
      </c>
      <c r="CD51" s="11" t="n">
        <v>0</v>
      </c>
      <c r="CE51" s="11" t="n">
        <v>0</v>
      </c>
    </row>
    <row r="52">
      <c r="A52" s="14" t="inlineStr">
        <is>
          <t>2025-09-15</t>
        </is>
      </c>
      <c r="B52" s="8" t="n">
        <v>0</v>
      </c>
      <c r="C52" s="8" t="n">
        <v>0</v>
      </c>
      <c r="D52" s="8" t="n">
        <v>0</v>
      </c>
      <c r="E52" s="8" t="n">
        <v>1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6</v>
      </c>
      <c r="Q52" s="8" t="n">
        <v>0</v>
      </c>
      <c r="R52" s="8" t="n">
        <v>10</v>
      </c>
      <c r="S52" s="8" t="n">
        <v>0</v>
      </c>
      <c r="T52" s="8" t="n">
        <v>0</v>
      </c>
      <c r="U52" s="8" t="n">
        <v>1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16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2</v>
      </c>
      <c r="AO52" s="8" t="n">
        <v>0</v>
      </c>
      <c r="AP52" s="8" t="n">
        <v>0</v>
      </c>
      <c r="AQ52" s="8" t="n">
        <v>0</v>
      </c>
      <c r="AR52" s="8" t="n">
        <v>0</v>
      </c>
      <c r="AS52" s="8" t="n">
        <v>4</v>
      </c>
      <c r="AT52" s="8" t="n">
        <v>0</v>
      </c>
      <c r="AU52" s="8" t="n">
        <v>0</v>
      </c>
      <c r="AV52" s="8" t="n">
        <v>0</v>
      </c>
      <c r="AW52" s="8" t="n">
        <v>0</v>
      </c>
      <c r="AX52" s="8" t="n">
        <v>0</v>
      </c>
      <c r="AY52" s="8" t="n">
        <v>0</v>
      </c>
      <c r="AZ52" s="8" t="n">
        <v>3</v>
      </c>
      <c r="BA52" s="8" t="n">
        <v>3</v>
      </c>
      <c r="BB52" s="8" t="n">
        <v>0</v>
      </c>
      <c r="BC52" s="8" t="n">
        <v>0</v>
      </c>
      <c r="BD52" s="8" t="n">
        <v>0</v>
      </c>
      <c r="BE52" s="8" t="n">
        <v>0</v>
      </c>
      <c r="BF52" s="8" t="n">
        <v>0</v>
      </c>
      <c r="BG52" s="8" t="n">
        <v>0</v>
      </c>
      <c r="BH52" s="8" t="n">
        <v>0</v>
      </c>
      <c r="BI52" s="8" t="n">
        <v>0</v>
      </c>
      <c r="BJ52" s="8" t="n">
        <v>0</v>
      </c>
      <c r="BK52" s="8" t="n">
        <v>0</v>
      </c>
      <c r="BL52" s="8" t="n">
        <v>18</v>
      </c>
      <c r="BM52" s="8" t="n">
        <v>0</v>
      </c>
      <c r="BN52" s="8" t="n">
        <v>6</v>
      </c>
      <c r="BO52" s="8" t="n">
        <v>0</v>
      </c>
      <c r="BP52" s="8" t="n">
        <v>0</v>
      </c>
      <c r="BQ52" s="8" t="n">
        <v>0</v>
      </c>
      <c r="BR52" s="8" t="n">
        <v>0</v>
      </c>
      <c r="BS52" s="8" t="n">
        <v>0</v>
      </c>
      <c r="BT52" s="8" t="n">
        <v>0</v>
      </c>
      <c r="BU52" s="8" t="n">
        <v>0</v>
      </c>
      <c r="BV52" s="8" t="n">
        <v>0</v>
      </c>
      <c r="BW52" s="8" t="n">
        <v>0</v>
      </c>
      <c r="BX52" s="8" t="n">
        <v>0</v>
      </c>
      <c r="BY52" s="8" t="n">
        <v>0</v>
      </c>
      <c r="BZ52" s="8" t="n">
        <v>0</v>
      </c>
      <c r="CA52" s="8" t="n">
        <v>0</v>
      </c>
      <c r="CB52" s="8" t="n">
        <v>0</v>
      </c>
      <c r="CC52" s="8" t="n">
        <v>0</v>
      </c>
      <c r="CD52" s="8" t="n">
        <v>0</v>
      </c>
      <c r="CE52" s="8" t="n">
        <v>0</v>
      </c>
    </row>
    <row r="53">
      <c r="A53" s="15" t="inlineStr">
        <is>
          <t>2025-09-16</t>
        </is>
      </c>
      <c r="B53" s="11" t="n">
        <v>0</v>
      </c>
      <c r="C53" s="11" t="n">
        <v>0</v>
      </c>
      <c r="D53" s="11" t="n">
        <v>0</v>
      </c>
      <c r="E53" s="11" t="n">
        <v>1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  <c r="P53" s="11" t="n">
        <v>6</v>
      </c>
      <c r="Q53" s="11" t="n">
        <v>0</v>
      </c>
      <c r="R53" s="11" t="n">
        <v>10</v>
      </c>
      <c r="S53" s="11" t="n">
        <v>0</v>
      </c>
      <c r="T53" s="11" t="n">
        <v>0</v>
      </c>
      <c r="U53" s="11" t="n">
        <v>1</v>
      </c>
      <c r="V53" s="11" t="n">
        <v>0</v>
      </c>
      <c r="W53" s="11" t="n">
        <v>0</v>
      </c>
      <c r="X53" s="11" t="n">
        <v>0</v>
      </c>
      <c r="Y53" s="11" t="n">
        <v>0</v>
      </c>
      <c r="Z53" s="11" t="n">
        <v>0</v>
      </c>
      <c r="AA53" s="11" t="n">
        <v>0</v>
      </c>
      <c r="AB53" s="11" t="n">
        <v>0</v>
      </c>
      <c r="AC53" s="11" t="n">
        <v>0</v>
      </c>
      <c r="AD53" s="11" t="n">
        <v>0</v>
      </c>
      <c r="AE53" s="11" t="n">
        <v>0</v>
      </c>
      <c r="AF53" s="11" t="n">
        <v>16</v>
      </c>
      <c r="AG53" s="11" t="n">
        <v>0</v>
      </c>
      <c r="AH53" s="11" t="n">
        <v>0</v>
      </c>
      <c r="AI53" s="11" t="n">
        <v>0</v>
      </c>
      <c r="AJ53" s="11" t="n">
        <v>0</v>
      </c>
      <c r="AK53" s="11" t="n">
        <v>0</v>
      </c>
      <c r="AL53" s="11" t="n">
        <v>0</v>
      </c>
      <c r="AM53" s="11" t="n">
        <v>0</v>
      </c>
      <c r="AN53" s="11" t="n">
        <v>2</v>
      </c>
      <c r="AO53" s="11" t="n">
        <v>0</v>
      </c>
      <c r="AP53" s="11" t="n">
        <v>0</v>
      </c>
      <c r="AQ53" s="11" t="n">
        <v>0</v>
      </c>
      <c r="AR53" s="11" t="n">
        <v>0</v>
      </c>
      <c r="AS53" s="11" t="n">
        <v>4</v>
      </c>
      <c r="AT53" s="11" t="n">
        <v>0</v>
      </c>
      <c r="AU53" s="11" t="n">
        <v>0</v>
      </c>
      <c r="AV53" s="11" t="n">
        <v>0</v>
      </c>
      <c r="AW53" s="11" t="n">
        <v>0</v>
      </c>
      <c r="AX53" s="11" t="n">
        <v>0</v>
      </c>
      <c r="AY53" s="11" t="n">
        <v>0</v>
      </c>
      <c r="AZ53" s="11" t="n">
        <v>3</v>
      </c>
      <c r="BA53" s="11" t="n">
        <v>3</v>
      </c>
      <c r="BB53" s="11" t="n">
        <v>0</v>
      </c>
      <c r="BC53" s="11" t="n">
        <v>0</v>
      </c>
      <c r="BD53" s="11" t="n">
        <v>0</v>
      </c>
      <c r="BE53" s="11" t="n">
        <v>0</v>
      </c>
      <c r="BF53" s="11" t="n">
        <v>0</v>
      </c>
      <c r="BG53" s="11" t="n">
        <v>0</v>
      </c>
      <c r="BH53" s="11" t="n">
        <v>0</v>
      </c>
      <c r="BI53" s="11" t="n">
        <v>0</v>
      </c>
      <c r="BJ53" s="11" t="n">
        <v>0</v>
      </c>
      <c r="BK53" s="11" t="n">
        <v>0</v>
      </c>
      <c r="BL53" s="11" t="n">
        <v>18</v>
      </c>
      <c r="BM53" s="11" t="n">
        <v>0</v>
      </c>
      <c r="BN53" s="11" t="n">
        <v>6</v>
      </c>
      <c r="BO53" s="11" t="n">
        <v>0</v>
      </c>
      <c r="BP53" s="11" t="n">
        <v>0</v>
      </c>
      <c r="BQ53" s="11" t="n">
        <v>0</v>
      </c>
      <c r="BR53" s="11" t="n">
        <v>0</v>
      </c>
      <c r="BS53" s="11" t="n">
        <v>0</v>
      </c>
      <c r="BT53" s="11" t="n">
        <v>0</v>
      </c>
      <c r="BU53" s="11" t="n">
        <v>0</v>
      </c>
      <c r="BV53" s="11" t="n">
        <v>0</v>
      </c>
      <c r="BW53" s="11" t="n">
        <v>0</v>
      </c>
      <c r="BX53" s="11" t="n">
        <v>0</v>
      </c>
      <c r="BY53" s="11" t="n">
        <v>0</v>
      </c>
      <c r="BZ53" s="11" t="n">
        <v>0</v>
      </c>
      <c r="CA53" s="11" t="n">
        <v>0</v>
      </c>
      <c r="CB53" s="11" t="n">
        <v>0</v>
      </c>
      <c r="CC53" s="11" t="n">
        <v>0</v>
      </c>
      <c r="CD53" s="11" t="n">
        <v>0</v>
      </c>
      <c r="CE53" s="11" t="n">
        <v>0</v>
      </c>
    </row>
    <row r="54">
      <c r="A54" s="14" t="inlineStr">
        <is>
          <t>2025-09-17</t>
        </is>
      </c>
      <c r="B54" s="8" t="n">
        <v>0</v>
      </c>
      <c r="C54" s="8" t="n">
        <v>0</v>
      </c>
      <c r="D54" s="8" t="n">
        <v>0</v>
      </c>
      <c r="E54" s="8" t="n">
        <v>1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6</v>
      </c>
      <c r="Q54" s="8" t="n">
        <v>0</v>
      </c>
      <c r="R54" s="8" t="n">
        <v>10</v>
      </c>
      <c r="S54" s="8" t="n">
        <v>0</v>
      </c>
      <c r="T54" s="8" t="n">
        <v>0</v>
      </c>
      <c r="U54" s="8" t="n">
        <v>1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16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2</v>
      </c>
      <c r="AO54" s="8" t="n">
        <v>0</v>
      </c>
      <c r="AP54" s="8" t="n">
        <v>0</v>
      </c>
      <c r="AQ54" s="8" t="n">
        <v>0</v>
      </c>
      <c r="AR54" s="8" t="n">
        <v>0</v>
      </c>
      <c r="AS54" s="8" t="n">
        <v>4</v>
      </c>
      <c r="AT54" s="8" t="n">
        <v>0</v>
      </c>
      <c r="AU54" s="8" t="n">
        <v>0</v>
      </c>
      <c r="AV54" s="8" t="n">
        <v>0</v>
      </c>
      <c r="AW54" s="8" t="n">
        <v>0</v>
      </c>
      <c r="AX54" s="8" t="n">
        <v>0</v>
      </c>
      <c r="AY54" s="8" t="n">
        <v>0</v>
      </c>
      <c r="AZ54" s="8" t="n">
        <v>3</v>
      </c>
      <c r="BA54" s="8" t="n">
        <v>3</v>
      </c>
      <c r="BB54" s="8" t="n">
        <v>0</v>
      </c>
      <c r="BC54" s="8" t="n">
        <v>0</v>
      </c>
      <c r="BD54" s="8" t="n">
        <v>0</v>
      </c>
      <c r="BE54" s="8" t="n">
        <v>0</v>
      </c>
      <c r="BF54" s="8" t="n">
        <v>0</v>
      </c>
      <c r="BG54" s="8" t="n">
        <v>0</v>
      </c>
      <c r="BH54" s="8" t="n">
        <v>0</v>
      </c>
      <c r="BI54" s="8" t="n">
        <v>0</v>
      </c>
      <c r="BJ54" s="8" t="n">
        <v>0</v>
      </c>
      <c r="BK54" s="8" t="n">
        <v>0</v>
      </c>
      <c r="BL54" s="8" t="n">
        <v>18</v>
      </c>
      <c r="BM54" s="8" t="n">
        <v>0</v>
      </c>
      <c r="BN54" s="8" t="n">
        <v>6</v>
      </c>
      <c r="BO54" s="8" t="n">
        <v>0</v>
      </c>
      <c r="BP54" s="8" t="n">
        <v>0</v>
      </c>
      <c r="BQ54" s="8" t="n">
        <v>0</v>
      </c>
      <c r="BR54" s="8" t="n">
        <v>0</v>
      </c>
      <c r="BS54" s="8" t="n">
        <v>0</v>
      </c>
      <c r="BT54" s="8" t="n">
        <v>0</v>
      </c>
      <c r="BU54" s="8" t="n">
        <v>0</v>
      </c>
      <c r="BV54" s="8" t="n">
        <v>0</v>
      </c>
      <c r="BW54" s="8" t="n">
        <v>0</v>
      </c>
      <c r="BX54" s="8" t="n">
        <v>0</v>
      </c>
      <c r="BY54" s="8" t="n">
        <v>0</v>
      </c>
      <c r="BZ54" s="8" t="n">
        <v>0</v>
      </c>
      <c r="CA54" s="8" t="n">
        <v>0</v>
      </c>
      <c r="CB54" s="8" t="n">
        <v>0</v>
      </c>
      <c r="CC54" s="8" t="n">
        <v>0</v>
      </c>
      <c r="CD54" s="8" t="n">
        <v>0</v>
      </c>
      <c r="CE54" s="8" t="n">
        <v>0</v>
      </c>
    </row>
    <row r="55">
      <c r="A55" s="15" t="inlineStr">
        <is>
          <t>2025-09-18</t>
        </is>
      </c>
      <c r="B55" s="11" t="n">
        <v>0</v>
      </c>
      <c r="C55" s="11" t="n">
        <v>0</v>
      </c>
      <c r="D55" s="11" t="n">
        <v>0</v>
      </c>
      <c r="E55" s="11" t="n">
        <v>1</v>
      </c>
      <c r="F55" s="11" t="n">
        <v>0</v>
      </c>
      <c r="G55" s="11" t="n">
        <v>3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6</v>
      </c>
      <c r="Q55" s="11" t="n">
        <v>0</v>
      </c>
      <c r="R55" s="11" t="n">
        <v>10</v>
      </c>
      <c r="S55" s="11" t="n">
        <v>0</v>
      </c>
      <c r="T55" s="11" t="n">
        <v>0</v>
      </c>
      <c r="U55" s="11" t="n">
        <v>0</v>
      </c>
      <c r="V55" s="11" t="n">
        <v>0</v>
      </c>
      <c r="W55" s="11" t="n">
        <v>0</v>
      </c>
      <c r="X55" s="11" t="n">
        <v>0</v>
      </c>
      <c r="Y55" s="11" t="n">
        <v>0</v>
      </c>
      <c r="Z55" s="11" t="n">
        <v>0</v>
      </c>
      <c r="AA55" s="11" t="n">
        <v>0</v>
      </c>
      <c r="AB55" s="11" t="n">
        <v>0</v>
      </c>
      <c r="AC55" s="11" t="n">
        <v>0</v>
      </c>
      <c r="AD55" s="11" t="n">
        <v>0</v>
      </c>
      <c r="AE55" s="11" t="n">
        <v>0</v>
      </c>
      <c r="AF55" s="11" t="n">
        <v>16</v>
      </c>
      <c r="AG55" s="11" t="n">
        <v>0</v>
      </c>
      <c r="AH55" s="11" t="n">
        <v>0</v>
      </c>
      <c r="AI55" s="11" t="n">
        <v>0</v>
      </c>
      <c r="AJ55" s="11" t="n">
        <v>0</v>
      </c>
      <c r="AK55" s="11" t="n">
        <v>0</v>
      </c>
      <c r="AL55" s="11" t="n">
        <v>0</v>
      </c>
      <c r="AM55" s="11" t="n">
        <v>0</v>
      </c>
      <c r="AN55" s="11" t="n">
        <v>2</v>
      </c>
      <c r="AO55" s="11" t="n">
        <v>0</v>
      </c>
      <c r="AP55" s="11" t="n">
        <v>0</v>
      </c>
      <c r="AQ55" s="11" t="n">
        <v>0</v>
      </c>
      <c r="AR55" s="11" t="n">
        <v>0</v>
      </c>
      <c r="AS55" s="11" t="n">
        <v>4</v>
      </c>
      <c r="AT55" s="11" t="n">
        <v>0</v>
      </c>
      <c r="AU55" s="11" t="n">
        <v>0</v>
      </c>
      <c r="AV55" s="11" t="n">
        <v>0</v>
      </c>
      <c r="AW55" s="11" t="n">
        <v>0</v>
      </c>
      <c r="AX55" s="11" t="n">
        <v>0</v>
      </c>
      <c r="AY55" s="11" t="n">
        <v>0</v>
      </c>
      <c r="AZ55" s="11" t="n">
        <v>3</v>
      </c>
      <c r="BA55" s="11" t="n">
        <v>3</v>
      </c>
      <c r="BB55" s="11" t="n">
        <v>0</v>
      </c>
      <c r="BC55" s="11" t="n">
        <v>0</v>
      </c>
      <c r="BD55" s="11" t="n">
        <v>0</v>
      </c>
      <c r="BE55" s="11" t="n">
        <v>0</v>
      </c>
      <c r="BF55" s="11" t="n">
        <v>0</v>
      </c>
      <c r="BG55" s="11" t="n">
        <v>0</v>
      </c>
      <c r="BH55" s="11" t="n">
        <v>0</v>
      </c>
      <c r="BI55" s="11" t="n">
        <v>0</v>
      </c>
      <c r="BJ55" s="11" t="n">
        <v>0</v>
      </c>
      <c r="BK55" s="11" t="n">
        <v>0</v>
      </c>
      <c r="BL55" s="11" t="n">
        <v>18</v>
      </c>
      <c r="BM55" s="11" t="n">
        <v>0</v>
      </c>
      <c r="BN55" s="11" t="n">
        <v>6</v>
      </c>
      <c r="BO55" s="11" t="n">
        <v>0</v>
      </c>
      <c r="BP55" s="11" t="n">
        <v>0</v>
      </c>
      <c r="BQ55" s="11" t="n">
        <v>0</v>
      </c>
      <c r="BR55" s="11" t="n">
        <v>0</v>
      </c>
      <c r="BS55" s="11" t="n">
        <v>0</v>
      </c>
      <c r="BT55" s="11" t="n">
        <v>0</v>
      </c>
      <c r="BU55" s="11" t="n">
        <v>0</v>
      </c>
      <c r="BV55" s="11" t="n">
        <v>0</v>
      </c>
      <c r="BW55" s="11" t="n">
        <v>0</v>
      </c>
      <c r="BX55" s="11" t="n">
        <v>0</v>
      </c>
      <c r="BY55" s="11" t="n">
        <v>0</v>
      </c>
      <c r="BZ55" s="11" t="n">
        <v>0</v>
      </c>
      <c r="CA55" s="11" t="n">
        <v>0</v>
      </c>
      <c r="CB55" s="11" t="n">
        <v>0</v>
      </c>
      <c r="CC55" s="11" t="n">
        <v>0</v>
      </c>
      <c r="CD55" s="11" t="n">
        <v>0</v>
      </c>
      <c r="CE55" s="11" t="n">
        <v>0</v>
      </c>
    </row>
    <row r="56">
      <c r="A56" s="14" t="inlineStr">
        <is>
          <t>2025-09-19</t>
        </is>
      </c>
      <c r="B56" s="8" t="n">
        <v>0</v>
      </c>
      <c r="C56" s="8" t="n">
        <v>0</v>
      </c>
      <c r="D56" s="8" t="n">
        <v>0</v>
      </c>
      <c r="E56" s="8" t="n">
        <v>1</v>
      </c>
      <c r="F56" s="8" t="n">
        <v>0</v>
      </c>
      <c r="G56" s="8" t="n">
        <v>3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6</v>
      </c>
      <c r="Q56" s="8" t="n">
        <v>0</v>
      </c>
      <c r="R56" s="8" t="n">
        <v>10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16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2</v>
      </c>
      <c r="AO56" s="8" t="n">
        <v>0</v>
      </c>
      <c r="AP56" s="8" t="n">
        <v>0</v>
      </c>
      <c r="AQ56" s="8" t="n">
        <v>0</v>
      </c>
      <c r="AR56" s="8" t="n">
        <v>0</v>
      </c>
      <c r="AS56" s="8" t="n">
        <v>4</v>
      </c>
      <c r="AT56" s="8" t="n">
        <v>0</v>
      </c>
      <c r="AU56" s="8" t="n">
        <v>0</v>
      </c>
      <c r="AV56" s="8" t="n">
        <v>0</v>
      </c>
      <c r="AW56" s="8" t="n">
        <v>0</v>
      </c>
      <c r="AX56" s="8" t="n">
        <v>0</v>
      </c>
      <c r="AY56" s="8" t="n">
        <v>0</v>
      </c>
      <c r="AZ56" s="8" t="n">
        <v>3</v>
      </c>
      <c r="BA56" s="8" t="n">
        <v>3</v>
      </c>
      <c r="BB56" s="8" t="n">
        <v>0</v>
      </c>
      <c r="BC56" s="8" t="n">
        <v>0</v>
      </c>
      <c r="BD56" s="8" t="n">
        <v>0</v>
      </c>
      <c r="BE56" s="8" t="n">
        <v>0</v>
      </c>
      <c r="BF56" s="8" t="n">
        <v>0</v>
      </c>
      <c r="BG56" s="8" t="n">
        <v>0</v>
      </c>
      <c r="BH56" s="8" t="n">
        <v>0</v>
      </c>
      <c r="BI56" s="8" t="n">
        <v>0</v>
      </c>
      <c r="BJ56" s="8" t="n">
        <v>0</v>
      </c>
      <c r="BK56" s="8" t="n">
        <v>0</v>
      </c>
      <c r="BL56" s="8" t="n">
        <v>18</v>
      </c>
      <c r="BM56" s="8" t="n">
        <v>0</v>
      </c>
      <c r="BN56" s="8" t="n">
        <v>6</v>
      </c>
      <c r="BO56" s="8" t="n">
        <v>0</v>
      </c>
      <c r="BP56" s="8" t="n">
        <v>0</v>
      </c>
      <c r="BQ56" s="8" t="n">
        <v>0</v>
      </c>
      <c r="BR56" s="8" t="n">
        <v>0</v>
      </c>
      <c r="BS56" s="8" t="n">
        <v>0</v>
      </c>
      <c r="BT56" s="8" t="n">
        <v>0</v>
      </c>
      <c r="BU56" s="8" t="n">
        <v>0</v>
      </c>
      <c r="BV56" s="8" t="n">
        <v>0</v>
      </c>
      <c r="BW56" s="8" t="n">
        <v>0</v>
      </c>
      <c r="BX56" s="8" t="n">
        <v>0</v>
      </c>
      <c r="BY56" s="8" t="n">
        <v>0</v>
      </c>
      <c r="BZ56" s="8" t="n">
        <v>0</v>
      </c>
      <c r="CA56" s="8" t="n">
        <v>0</v>
      </c>
      <c r="CB56" s="8" t="n">
        <v>0</v>
      </c>
      <c r="CC56" s="8" t="n">
        <v>0</v>
      </c>
      <c r="CD56" s="8" t="n">
        <v>0</v>
      </c>
      <c r="CE56" s="8" t="n">
        <v>0</v>
      </c>
    </row>
    <row r="57">
      <c r="A57" s="15" t="inlineStr">
        <is>
          <t>2025-09-22</t>
        </is>
      </c>
      <c r="B57" s="11" t="n">
        <v>0</v>
      </c>
      <c r="C57" s="11" t="n">
        <v>0</v>
      </c>
      <c r="D57" s="11" t="n">
        <v>0</v>
      </c>
      <c r="E57" s="11" t="n">
        <v>0</v>
      </c>
      <c r="F57" s="11" t="n">
        <v>0</v>
      </c>
      <c r="G57" s="11" t="n">
        <v>3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6</v>
      </c>
      <c r="Q57" s="11" t="n">
        <v>0</v>
      </c>
      <c r="R57" s="11" t="n">
        <v>10</v>
      </c>
      <c r="S57" s="11" t="n">
        <v>0</v>
      </c>
      <c r="T57" s="11" t="n">
        <v>0</v>
      </c>
      <c r="U57" s="11" t="n">
        <v>0</v>
      </c>
      <c r="V57" s="11" t="n">
        <v>1</v>
      </c>
      <c r="W57" s="11" t="n">
        <v>0</v>
      </c>
      <c r="X57" s="11" t="n">
        <v>0</v>
      </c>
      <c r="Y57" s="11" t="n">
        <v>0</v>
      </c>
      <c r="Z57" s="11" t="n">
        <v>0</v>
      </c>
      <c r="AA57" s="11" t="n">
        <v>0</v>
      </c>
      <c r="AB57" s="11" t="n">
        <v>0</v>
      </c>
      <c r="AC57" s="11" t="n">
        <v>0</v>
      </c>
      <c r="AD57" s="11" t="n">
        <v>0</v>
      </c>
      <c r="AE57" s="11" t="n">
        <v>0</v>
      </c>
      <c r="AF57" s="11" t="n">
        <v>16</v>
      </c>
      <c r="AG57" s="11" t="n">
        <v>0</v>
      </c>
      <c r="AH57" s="11" t="n">
        <v>0</v>
      </c>
      <c r="AI57" s="11" t="n">
        <v>0</v>
      </c>
      <c r="AJ57" s="11" t="n">
        <v>0</v>
      </c>
      <c r="AK57" s="11" t="n">
        <v>0</v>
      </c>
      <c r="AL57" s="11" t="n">
        <v>0</v>
      </c>
      <c r="AM57" s="11" t="n">
        <v>0</v>
      </c>
      <c r="AN57" s="11" t="n">
        <v>2</v>
      </c>
      <c r="AO57" s="11" t="n">
        <v>0</v>
      </c>
      <c r="AP57" s="11" t="n">
        <v>0</v>
      </c>
      <c r="AQ57" s="11" t="n">
        <v>0</v>
      </c>
      <c r="AR57" s="11" t="n">
        <v>0</v>
      </c>
      <c r="AS57" s="11" t="n">
        <v>4</v>
      </c>
      <c r="AT57" s="11" t="n">
        <v>0</v>
      </c>
      <c r="AU57" s="11" t="n">
        <v>0</v>
      </c>
      <c r="AV57" s="11" t="n">
        <v>0</v>
      </c>
      <c r="AW57" s="11" t="n">
        <v>0</v>
      </c>
      <c r="AX57" s="11" t="n">
        <v>0</v>
      </c>
      <c r="AY57" s="11" t="n">
        <v>0</v>
      </c>
      <c r="AZ57" s="11" t="n">
        <v>3</v>
      </c>
      <c r="BA57" s="11" t="n">
        <v>3</v>
      </c>
      <c r="BB57" s="11" t="n">
        <v>0</v>
      </c>
      <c r="BC57" s="11" t="n">
        <v>0</v>
      </c>
      <c r="BD57" s="11" t="n">
        <v>0</v>
      </c>
      <c r="BE57" s="11" t="n">
        <v>0</v>
      </c>
      <c r="BF57" s="11" t="n">
        <v>0</v>
      </c>
      <c r="BG57" s="11" t="n">
        <v>0</v>
      </c>
      <c r="BH57" s="11" t="n">
        <v>0</v>
      </c>
      <c r="BI57" s="11" t="n">
        <v>0</v>
      </c>
      <c r="BJ57" s="11" t="n">
        <v>0</v>
      </c>
      <c r="BK57" s="11" t="n">
        <v>0</v>
      </c>
      <c r="BL57" s="11" t="n">
        <v>18</v>
      </c>
      <c r="BM57" s="11" t="n">
        <v>0</v>
      </c>
      <c r="BN57" s="11" t="n">
        <v>6</v>
      </c>
      <c r="BO57" s="11" t="n">
        <v>6</v>
      </c>
      <c r="BP57" s="11" t="n">
        <v>0</v>
      </c>
      <c r="BQ57" s="11" t="n">
        <v>0</v>
      </c>
      <c r="BR57" s="11" t="n">
        <v>0</v>
      </c>
      <c r="BS57" s="11" t="n">
        <v>0</v>
      </c>
      <c r="BT57" s="11" t="n">
        <v>0</v>
      </c>
      <c r="BU57" s="11" t="n">
        <v>0</v>
      </c>
      <c r="BV57" s="11" t="n">
        <v>0</v>
      </c>
      <c r="BW57" s="11" t="n">
        <v>0</v>
      </c>
      <c r="BX57" s="11" t="n">
        <v>0</v>
      </c>
      <c r="BY57" s="11" t="n">
        <v>0</v>
      </c>
      <c r="BZ57" s="11" t="n">
        <v>0</v>
      </c>
      <c r="CA57" s="11" t="n">
        <v>0</v>
      </c>
      <c r="CB57" s="11" t="n">
        <v>0</v>
      </c>
      <c r="CC57" s="11" t="n">
        <v>0</v>
      </c>
      <c r="CD57" s="11" t="n">
        <v>0</v>
      </c>
      <c r="CE57" s="11" t="n">
        <v>0</v>
      </c>
    </row>
    <row r="58">
      <c r="A58" s="14" t="inlineStr">
        <is>
          <t>2025-09-23</t>
        </is>
      </c>
      <c r="B58" s="8" t="n">
        <v>0</v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3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6</v>
      </c>
      <c r="Q58" s="8" t="n">
        <v>0</v>
      </c>
      <c r="R58" s="8" t="n">
        <v>10</v>
      </c>
      <c r="S58" s="8" t="n">
        <v>0</v>
      </c>
      <c r="T58" s="8" t="n">
        <v>0</v>
      </c>
      <c r="U58" s="8" t="n">
        <v>0</v>
      </c>
      <c r="V58" s="8" t="n">
        <v>1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16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2</v>
      </c>
      <c r="AO58" s="8" t="n">
        <v>0</v>
      </c>
      <c r="AP58" s="8" t="n">
        <v>0</v>
      </c>
      <c r="AQ58" s="8" t="n">
        <v>0</v>
      </c>
      <c r="AR58" s="8" t="n">
        <v>0</v>
      </c>
      <c r="AS58" s="8" t="n">
        <v>4</v>
      </c>
      <c r="AT58" s="8" t="n">
        <v>0</v>
      </c>
      <c r="AU58" s="8" t="n">
        <v>0</v>
      </c>
      <c r="AV58" s="8" t="n">
        <v>0</v>
      </c>
      <c r="AW58" s="8" t="n">
        <v>0</v>
      </c>
      <c r="AX58" s="8" t="n">
        <v>0</v>
      </c>
      <c r="AY58" s="8" t="n">
        <v>0</v>
      </c>
      <c r="AZ58" s="8" t="n">
        <v>3</v>
      </c>
      <c r="BA58" s="8" t="n">
        <v>3</v>
      </c>
      <c r="BB58" s="8" t="n">
        <v>0</v>
      </c>
      <c r="BC58" s="8" t="n">
        <v>0</v>
      </c>
      <c r="BD58" s="8" t="n">
        <v>0</v>
      </c>
      <c r="BE58" s="8" t="n">
        <v>0</v>
      </c>
      <c r="BF58" s="8" t="n">
        <v>0</v>
      </c>
      <c r="BG58" s="8" t="n">
        <v>0</v>
      </c>
      <c r="BH58" s="8" t="n">
        <v>0</v>
      </c>
      <c r="BI58" s="8" t="n">
        <v>0</v>
      </c>
      <c r="BJ58" s="8" t="n">
        <v>0</v>
      </c>
      <c r="BK58" s="8" t="n">
        <v>0</v>
      </c>
      <c r="BL58" s="8" t="n">
        <v>18</v>
      </c>
      <c r="BM58" s="8" t="n">
        <v>0</v>
      </c>
      <c r="BN58" s="8" t="n">
        <v>6</v>
      </c>
      <c r="BO58" s="8" t="n">
        <v>6</v>
      </c>
      <c r="BP58" s="8" t="n">
        <v>0</v>
      </c>
      <c r="BQ58" s="8" t="n">
        <v>0</v>
      </c>
      <c r="BR58" s="8" t="n">
        <v>0</v>
      </c>
      <c r="BS58" s="8" t="n">
        <v>0</v>
      </c>
      <c r="BT58" s="8" t="n">
        <v>0</v>
      </c>
      <c r="BU58" s="8" t="n">
        <v>0</v>
      </c>
      <c r="BV58" s="8" t="n">
        <v>0</v>
      </c>
      <c r="BW58" s="8" t="n">
        <v>0</v>
      </c>
      <c r="BX58" s="8" t="n">
        <v>0</v>
      </c>
      <c r="BY58" s="8" t="n">
        <v>0</v>
      </c>
      <c r="BZ58" s="8" t="n">
        <v>0</v>
      </c>
      <c r="CA58" s="8" t="n">
        <v>0</v>
      </c>
      <c r="CB58" s="8" t="n">
        <v>0</v>
      </c>
      <c r="CC58" s="8" t="n">
        <v>0</v>
      </c>
      <c r="CD58" s="8" t="n">
        <v>0</v>
      </c>
      <c r="CE58" s="8" t="n">
        <v>0</v>
      </c>
    </row>
    <row r="59">
      <c r="A59" s="15" t="inlineStr">
        <is>
          <t>2025-09-24</t>
        </is>
      </c>
      <c r="B59" s="11" t="n">
        <v>0</v>
      </c>
      <c r="C59" s="11" t="n">
        <v>0</v>
      </c>
      <c r="D59" s="11" t="n">
        <v>0</v>
      </c>
      <c r="E59" s="11" t="n">
        <v>0</v>
      </c>
      <c r="F59" s="11" t="n">
        <v>0</v>
      </c>
      <c r="G59" s="11" t="n">
        <v>3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  <c r="P59" s="11" t="n">
        <v>6</v>
      </c>
      <c r="Q59" s="11" t="n">
        <v>0</v>
      </c>
      <c r="R59" s="11" t="n">
        <v>10</v>
      </c>
      <c r="S59" s="11" t="n">
        <v>0</v>
      </c>
      <c r="T59" s="11" t="n">
        <v>0</v>
      </c>
      <c r="U59" s="11" t="n">
        <v>0</v>
      </c>
      <c r="V59" s="11" t="n">
        <v>1</v>
      </c>
      <c r="W59" s="11" t="n">
        <v>0</v>
      </c>
      <c r="X59" s="11" t="n">
        <v>0</v>
      </c>
      <c r="Y59" s="11" t="n">
        <v>0</v>
      </c>
      <c r="Z59" s="11" t="n">
        <v>0</v>
      </c>
      <c r="AA59" s="11" t="n">
        <v>0</v>
      </c>
      <c r="AB59" s="11" t="n">
        <v>0</v>
      </c>
      <c r="AC59" s="11" t="n">
        <v>0</v>
      </c>
      <c r="AD59" s="11" t="n">
        <v>0</v>
      </c>
      <c r="AE59" s="11" t="n">
        <v>0</v>
      </c>
      <c r="AF59" s="11" t="n">
        <v>16</v>
      </c>
      <c r="AG59" s="11" t="n">
        <v>0</v>
      </c>
      <c r="AH59" s="11" t="n">
        <v>0</v>
      </c>
      <c r="AI59" s="11" t="n">
        <v>0</v>
      </c>
      <c r="AJ59" s="11" t="n">
        <v>0</v>
      </c>
      <c r="AK59" s="11" t="n">
        <v>0</v>
      </c>
      <c r="AL59" s="11" t="n">
        <v>0</v>
      </c>
      <c r="AM59" s="11" t="n">
        <v>0</v>
      </c>
      <c r="AN59" s="11" t="n">
        <v>2</v>
      </c>
      <c r="AO59" s="11" t="n">
        <v>0</v>
      </c>
      <c r="AP59" s="11" t="n">
        <v>0</v>
      </c>
      <c r="AQ59" s="11" t="n">
        <v>0</v>
      </c>
      <c r="AR59" s="11" t="n">
        <v>0</v>
      </c>
      <c r="AS59" s="11" t="n">
        <v>4</v>
      </c>
      <c r="AT59" s="11" t="n">
        <v>0</v>
      </c>
      <c r="AU59" s="11" t="n">
        <v>0</v>
      </c>
      <c r="AV59" s="11" t="n">
        <v>0</v>
      </c>
      <c r="AW59" s="11" t="n">
        <v>0</v>
      </c>
      <c r="AX59" s="11" t="n">
        <v>0</v>
      </c>
      <c r="AY59" s="11" t="n">
        <v>0</v>
      </c>
      <c r="AZ59" s="11" t="n">
        <v>3</v>
      </c>
      <c r="BA59" s="11" t="n">
        <v>3</v>
      </c>
      <c r="BB59" s="11" t="n">
        <v>0</v>
      </c>
      <c r="BC59" s="11" t="n">
        <v>0</v>
      </c>
      <c r="BD59" s="11" t="n">
        <v>0</v>
      </c>
      <c r="BE59" s="11" t="n">
        <v>0</v>
      </c>
      <c r="BF59" s="11" t="n">
        <v>0</v>
      </c>
      <c r="BG59" s="11" t="n">
        <v>0</v>
      </c>
      <c r="BH59" s="11" t="n">
        <v>0</v>
      </c>
      <c r="BI59" s="11" t="n">
        <v>0</v>
      </c>
      <c r="BJ59" s="11" t="n">
        <v>0</v>
      </c>
      <c r="BK59" s="11" t="n">
        <v>0</v>
      </c>
      <c r="BL59" s="11" t="n">
        <v>18</v>
      </c>
      <c r="BM59" s="11" t="n">
        <v>0</v>
      </c>
      <c r="BN59" s="11" t="n">
        <v>6</v>
      </c>
      <c r="BO59" s="11" t="n">
        <v>6</v>
      </c>
      <c r="BP59" s="11" t="n">
        <v>0</v>
      </c>
      <c r="BQ59" s="11" t="n">
        <v>0</v>
      </c>
      <c r="BR59" s="11" t="n">
        <v>0</v>
      </c>
      <c r="BS59" s="11" t="n">
        <v>0</v>
      </c>
      <c r="BT59" s="11" t="n">
        <v>0</v>
      </c>
      <c r="BU59" s="11" t="n">
        <v>0</v>
      </c>
      <c r="BV59" s="11" t="n">
        <v>0</v>
      </c>
      <c r="BW59" s="11" t="n">
        <v>0</v>
      </c>
      <c r="BX59" s="11" t="n">
        <v>0</v>
      </c>
      <c r="BY59" s="11" t="n">
        <v>0</v>
      </c>
      <c r="BZ59" s="11" t="n">
        <v>0</v>
      </c>
      <c r="CA59" s="11" t="n">
        <v>0</v>
      </c>
      <c r="CB59" s="11" t="n">
        <v>0</v>
      </c>
      <c r="CC59" s="11" t="n">
        <v>0</v>
      </c>
      <c r="CD59" s="11" t="n">
        <v>0</v>
      </c>
      <c r="CE59" s="11" t="n">
        <v>0</v>
      </c>
    </row>
    <row r="60">
      <c r="A60" s="14" t="inlineStr">
        <is>
          <t>2025-09-25</t>
        </is>
      </c>
      <c r="B60" s="8" t="n">
        <v>0</v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3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6</v>
      </c>
      <c r="Q60" s="8" t="n">
        <v>0</v>
      </c>
      <c r="R60" s="8" t="n">
        <v>10</v>
      </c>
      <c r="S60" s="8" t="n">
        <v>0</v>
      </c>
      <c r="T60" s="8" t="n">
        <v>0</v>
      </c>
      <c r="U60" s="8" t="n">
        <v>0</v>
      </c>
      <c r="V60" s="8" t="n">
        <v>1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16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2</v>
      </c>
      <c r="AO60" s="8" t="n">
        <v>0</v>
      </c>
      <c r="AP60" s="8" t="n">
        <v>0</v>
      </c>
      <c r="AQ60" s="8" t="n">
        <v>0</v>
      </c>
      <c r="AR60" s="8" t="n">
        <v>0</v>
      </c>
      <c r="AS60" s="8" t="n">
        <v>4</v>
      </c>
      <c r="AT60" s="8" t="n">
        <v>0</v>
      </c>
      <c r="AU60" s="8" t="n">
        <v>0</v>
      </c>
      <c r="AV60" s="8" t="n">
        <v>0</v>
      </c>
      <c r="AW60" s="8" t="n">
        <v>0</v>
      </c>
      <c r="AX60" s="8" t="n">
        <v>0</v>
      </c>
      <c r="AY60" s="8" t="n">
        <v>0</v>
      </c>
      <c r="AZ60" s="8" t="n">
        <v>3</v>
      </c>
      <c r="BA60" s="8" t="n">
        <v>3</v>
      </c>
      <c r="BB60" s="8" t="n">
        <v>0</v>
      </c>
      <c r="BC60" s="8" t="n">
        <v>0</v>
      </c>
      <c r="BD60" s="8" t="n">
        <v>0</v>
      </c>
      <c r="BE60" s="8" t="n">
        <v>0</v>
      </c>
      <c r="BF60" s="8" t="n">
        <v>0</v>
      </c>
      <c r="BG60" s="8" t="n">
        <v>0</v>
      </c>
      <c r="BH60" s="8" t="n">
        <v>0</v>
      </c>
      <c r="BI60" s="8" t="n">
        <v>0</v>
      </c>
      <c r="BJ60" s="8" t="n">
        <v>0</v>
      </c>
      <c r="BK60" s="8" t="n">
        <v>0</v>
      </c>
      <c r="BL60" s="8" t="n">
        <v>18</v>
      </c>
      <c r="BM60" s="8" t="n">
        <v>0</v>
      </c>
      <c r="BN60" s="8" t="n">
        <v>6</v>
      </c>
      <c r="BO60" s="8" t="n">
        <v>6</v>
      </c>
      <c r="BP60" s="8" t="n">
        <v>0</v>
      </c>
      <c r="BQ60" s="8" t="n">
        <v>0</v>
      </c>
      <c r="BR60" s="8" t="n">
        <v>0</v>
      </c>
      <c r="BS60" s="8" t="n">
        <v>0</v>
      </c>
      <c r="BT60" s="8" t="n">
        <v>0</v>
      </c>
      <c r="BU60" s="8" t="n">
        <v>0</v>
      </c>
      <c r="BV60" s="8" t="n">
        <v>0</v>
      </c>
      <c r="BW60" s="8" t="n">
        <v>0</v>
      </c>
      <c r="BX60" s="8" t="n">
        <v>0</v>
      </c>
      <c r="BY60" s="8" t="n">
        <v>0</v>
      </c>
      <c r="BZ60" s="8" t="n">
        <v>0</v>
      </c>
      <c r="CA60" s="8" t="n">
        <v>0</v>
      </c>
      <c r="CB60" s="8" t="n">
        <v>0</v>
      </c>
      <c r="CC60" s="8" t="n">
        <v>0</v>
      </c>
      <c r="CD60" s="8" t="n">
        <v>0</v>
      </c>
      <c r="CE60" s="8" t="n">
        <v>0</v>
      </c>
    </row>
    <row r="61">
      <c r="A61" s="15" t="inlineStr">
        <is>
          <t>2025-09-26</t>
        </is>
      </c>
      <c r="B61" s="11" t="n">
        <v>0</v>
      </c>
      <c r="C61" s="11" t="n">
        <v>0</v>
      </c>
      <c r="D61" s="11" t="n">
        <v>0</v>
      </c>
      <c r="E61" s="11" t="n">
        <v>0</v>
      </c>
      <c r="F61" s="11" t="n">
        <v>0</v>
      </c>
      <c r="G61" s="11" t="n">
        <v>3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  <c r="P61" s="11" t="n">
        <v>6</v>
      </c>
      <c r="Q61" s="11" t="n">
        <v>0</v>
      </c>
      <c r="R61" s="11" t="n">
        <v>10</v>
      </c>
      <c r="S61" s="11" t="n">
        <v>0</v>
      </c>
      <c r="T61" s="11" t="n">
        <v>0</v>
      </c>
      <c r="U61" s="11" t="n">
        <v>0</v>
      </c>
      <c r="V61" s="11" t="n">
        <v>1</v>
      </c>
      <c r="W61" s="11" t="n">
        <v>0</v>
      </c>
      <c r="X61" s="11" t="n">
        <v>0</v>
      </c>
      <c r="Y61" s="11" t="n">
        <v>0</v>
      </c>
      <c r="Z61" s="11" t="n">
        <v>0</v>
      </c>
      <c r="AA61" s="11" t="n">
        <v>0</v>
      </c>
      <c r="AB61" s="11" t="n">
        <v>0</v>
      </c>
      <c r="AC61" s="11" t="n">
        <v>0</v>
      </c>
      <c r="AD61" s="11" t="n">
        <v>0</v>
      </c>
      <c r="AE61" s="11" t="n">
        <v>0</v>
      </c>
      <c r="AF61" s="11" t="n">
        <v>16</v>
      </c>
      <c r="AG61" s="11" t="n">
        <v>0</v>
      </c>
      <c r="AH61" s="11" t="n">
        <v>0</v>
      </c>
      <c r="AI61" s="11" t="n">
        <v>0</v>
      </c>
      <c r="AJ61" s="11" t="n">
        <v>0</v>
      </c>
      <c r="AK61" s="11" t="n">
        <v>0</v>
      </c>
      <c r="AL61" s="11" t="n">
        <v>0</v>
      </c>
      <c r="AM61" s="11" t="n">
        <v>0</v>
      </c>
      <c r="AN61" s="11" t="n">
        <v>2</v>
      </c>
      <c r="AO61" s="11" t="n">
        <v>0</v>
      </c>
      <c r="AP61" s="11" t="n">
        <v>0</v>
      </c>
      <c r="AQ61" s="11" t="n">
        <v>0</v>
      </c>
      <c r="AR61" s="11" t="n">
        <v>0</v>
      </c>
      <c r="AS61" s="11" t="n">
        <v>4</v>
      </c>
      <c r="AT61" s="11" t="n">
        <v>0</v>
      </c>
      <c r="AU61" s="11" t="n">
        <v>0</v>
      </c>
      <c r="AV61" s="11" t="n">
        <v>0</v>
      </c>
      <c r="AW61" s="11" t="n">
        <v>0</v>
      </c>
      <c r="AX61" s="11" t="n">
        <v>0</v>
      </c>
      <c r="AY61" s="11" t="n">
        <v>0</v>
      </c>
      <c r="AZ61" s="11" t="n">
        <v>3</v>
      </c>
      <c r="BA61" s="11" t="n">
        <v>3</v>
      </c>
      <c r="BB61" s="11" t="n">
        <v>0</v>
      </c>
      <c r="BC61" s="11" t="n">
        <v>0</v>
      </c>
      <c r="BD61" s="11" t="n">
        <v>0</v>
      </c>
      <c r="BE61" s="11" t="n">
        <v>0</v>
      </c>
      <c r="BF61" s="11" t="n">
        <v>0</v>
      </c>
      <c r="BG61" s="11" t="n">
        <v>0</v>
      </c>
      <c r="BH61" s="11" t="n">
        <v>0</v>
      </c>
      <c r="BI61" s="11" t="n">
        <v>0</v>
      </c>
      <c r="BJ61" s="11" t="n">
        <v>0</v>
      </c>
      <c r="BK61" s="11" t="n">
        <v>0</v>
      </c>
      <c r="BL61" s="11" t="n">
        <v>18</v>
      </c>
      <c r="BM61" s="11" t="n">
        <v>0</v>
      </c>
      <c r="BN61" s="11" t="n">
        <v>6</v>
      </c>
      <c r="BO61" s="11" t="n">
        <v>6</v>
      </c>
      <c r="BP61" s="11" t="n">
        <v>0</v>
      </c>
      <c r="BQ61" s="11" t="n">
        <v>0</v>
      </c>
      <c r="BR61" s="11" t="n">
        <v>0</v>
      </c>
      <c r="BS61" s="11" t="n">
        <v>0</v>
      </c>
      <c r="BT61" s="11" t="n">
        <v>0</v>
      </c>
      <c r="BU61" s="11" t="n">
        <v>0</v>
      </c>
      <c r="BV61" s="11" t="n">
        <v>0</v>
      </c>
      <c r="BW61" s="11" t="n">
        <v>0</v>
      </c>
      <c r="BX61" s="11" t="n">
        <v>0</v>
      </c>
      <c r="BY61" s="11" t="n">
        <v>0</v>
      </c>
      <c r="BZ61" s="11" t="n">
        <v>0</v>
      </c>
      <c r="CA61" s="11" t="n">
        <v>0</v>
      </c>
      <c r="CB61" s="11" t="n">
        <v>0</v>
      </c>
      <c r="CC61" s="11" t="n">
        <v>0</v>
      </c>
      <c r="CD61" s="11" t="n">
        <v>0</v>
      </c>
      <c r="CE61" s="11" t="n">
        <v>0</v>
      </c>
    </row>
    <row r="62">
      <c r="A62" s="14" t="inlineStr">
        <is>
          <t>2025-09-29</t>
        </is>
      </c>
      <c r="B62" s="8" t="n">
        <v>0</v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3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10</v>
      </c>
      <c r="S62" s="8" t="n">
        <v>0</v>
      </c>
      <c r="T62" s="8" t="n">
        <v>0</v>
      </c>
      <c r="U62" s="8" t="n">
        <v>0</v>
      </c>
      <c r="V62" s="8" t="n">
        <v>1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16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2</v>
      </c>
      <c r="AO62" s="8" t="n">
        <v>0</v>
      </c>
      <c r="AP62" s="8" t="n">
        <v>0</v>
      </c>
      <c r="AQ62" s="8" t="n">
        <v>0</v>
      </c>
      <c r="AR62" s="8" t="n">
        <v>0</v>
      </c>
      <c r="AS62" s="8" t="n">
        <v>4</v>
      </c>
      <c r="AT62" s="8" t="n">
        <v>0</v>
      </c>
      <c r="AU62" s="8" t="n">
        <v>0</v>
      </c>
      <c r="AV62" s="8" t="n">
        <v>0</v>
      </c>
      <c r="AW62" s="8" t="n">
        <v>0</v>
      </c>
      <c r="AX62" s="8" t="n">
        <v>0</v>
      </c>
      <c r="AY62" s="8" t="n">
        <v>0</v>
      </c>
      <c r="AZ62" s="8" t="n">
        <v>3</v>
      </c>
      <c r="BA62" s="8" t="n">
        <v>3</v>
      </c>
      <c r="BB62" s="8" t="n">
        <v>0</v>
      </c>
      <c r="BC62" s="8" t="n">
        <v>0</v>
      </c>
      <c r="BD62" s="8" t="n">
        <v>0</v>
      </c>
      <c r="BE62" s="8" t="n">
        <v>0</v>
      </c>
      <c r="BF62" s="8" t="n">
        <v>0</v>
      </c>
      <c r="BG62" s="8" t="n">
        <v>0</v>
      </c>
      <c r="BH62" s="8" t="n">
        <v>0</v>
      </c>
      <c r="BI62" s="8" t="n">
        <v>0</v>
      </c>
      <c r="BJ62" s="8" t="n">
        <v>0</v>
      </c>
      <c r="BK62" s="8" t="n">
        <v>0</v>
      </c>
      <c r="BL62" s="8" t="n">
        <v>18</v>
      </c>
      <c r="BM62" s="8" t="n">
        <v>0</v>
      </c>
      <c r="BN62" s="8" t="n">
        <v>6</v>
      </c>
      <c r="BO62" s="8" t="n">
        <v>6</v>
      </c>
      <c r="BP62" s="8" t="n">
        <v>0</v>
      </c>
      <c r="BQ62" s="8" t="n">
        <v>0</v>
      </c>
      <c r="BR62" s="8" t="n">
        <v>0</v>
      </c>
      <c r="BS62" s="8" t="n">
        <v>0</v>
      </c>
      <c r="BT62" s="8" t="n">
        <v>0</v>
      </c>
      <c r="BU62" s="8" t="n">
        <v>0</v>
      </c>
      <c r="BV62" s="8" t="n">
        <v>0</v>
      </c>
      <c r="BW62" s="8" t="n">
        <v>1.5</v>
      </c>
      <c r="BX62" s="8" t="n">
        <v>0</v>
      </c>
      <c r="BY62" s="8" t="n">
        <v>0</v>
      </c>
      <c r="BZ62" s="8" t="n">
        <v>0</v>
      </c>
      <c r="CA62" s="8" t="n">
        <v>0</v>
      </c>
      <c r="CB62" s="8" t="n">
        <v>0</v>
      </c>
      <c r="CC62" s="8" t="n">
        <v>0</v>
      </c>
      <c r="CD62" s="8" t="n">
        <v>0</v>
      </c>
      <c r="CE62" s="8" t="n">
        <v>0</v>
      </c>
    </row>
    <row r="63">
      <c r="A63" s="15" t="inlineStr">
        <is>
          <t>2025-09-30</t>
        </is>
      </c>
      <c r="B63" s="11" t="n">
        <v>0</v>
      </c>
      <c r="C63" s="11" t="n">
        <v>0</v>
      </c>
      <c r="D63" s="11" t="n">
        <v>0</v>
      </c>
      <c r="E63" s="11" t="n">
        <v>0</v>
      </c>
      <c r="F63" s="11" t="n">
        <v>0</v>
      </c>
      <c r="G63" s="11" t="n">
        <v>3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0</v>
      </c>
      <c r="R63" s="11" t="n">
        <v>10</v>
      </c>
      <c r="S63" s="11" t="n">
        <v>0</v>
      </c>
      <c r="T63" s="11" t="n">
        <v>0</v>
      </c>
      <c r="U63" s="11" t="n">
        <v>0</v>
      </c>
      <c r="V63" s="11" t="n">
        <v>1.7</v>
      </c>
      <c r="W63" s="11" t="n">
        <v>0</v>
      </c>
      <c r="X63" s="11" t="n">
        <v>0</v>
      </c>
      <c r="Y63" s="11" t="n">
        <v>0</v>
      </c>
      <c r="Z63" s="11" t="n">
        <v>0</v>
      </c>
      <c r="AA63" s="11" t="n">
        <v>0</v>
      </c>
      <c r="AB63" s="11" t="n">
        <v>0</v>
      </c>
      <c r="AC63" s="11" t="n">
        <v>0</v>
      </c>
      <c r="AD63" s="11" t="n">
        <v>0</v>
      </c>
      <c r="AE63" s="11" t="n">
        <v>0</v>
      </c>
      <c r="AF63" s="11" t="n">
        <v>16</v>
      </c>
      <c r="AG63" s="11" t="n">
        <v>0</v>
      </c>
      <c r="AH63" s="11" t="n">
        <v>0</v>
      </c>
      <c r="AI63" s="11" t="n">
        <v>0</v>
      </c>
      <c r="AJ63" s="11" t="n">
        <v>0</v>
      </c>
      <c r="AK63" s="11" t="n">
        <v>0</v>
      </c>
      <c r="AL63" s="11" t="n">
        <v>0</v>
      </c>
      <c r="AM63" s="11" t="n">
        <v>0</v>
      </c>
      <c r="AN63" s="11" t="n">
        <v>2</v>
      </c>
      <c r="AO63" s="11" t="n">
        <v>0</v>
      </c>
      <c r="AP63" s="11" t="n">
        <v>0</v>
      </c>
      <c r="AQ63" s="11" t="n">
        <v>0</v>
      </c>
      <c r="AR63" s="11" t="n">
        <v>0</v>
      </c>
      <c r="AS63" s="11" t="n">
        <v>4</v>
      </c>
      <c r="AT63" s="11" t="n">
        <v>0</v>
      </c>
      <c r="AU63" s="11" t="n">
        <v>0</v>
      </c>
      <c r="AV63" s="11" t="n">
        <v>0</v>
      </c>
      <c r="AW63" s="11" t="n">
        <v>0</v>
      </c>
      <c r="AX63" s="11" t="n">
        <v>0</v>
      </c>
      <c r="AY63" s="11" t="n">
        <v>0</v>
      </c>
      <c r="AZ63" s="11" t="n">
        <v>3</v>
      </c>
      <c r="BA63" s="11" t="n">
        <v>3</v>
      </c>
      <c r="BB63" s="11" t="n">
        <v>0</v>
      </c>
      <c r="BC63" s="11" t="n">
        <v>0</v>
      </c>
      <c r="BD63" s="11" t="n">
        <v>0</v>
      </c>
      <c r="BE63" s="11" t="n">
        <v>0</v>
      </c>
      <c r="BF63" s="11" t="n">
        <v>0</v>
      </c>
      <c r="BG63" s="11" t="n">
        <v>0</v>
      </c>
      <c r="BH63" s="11" t="n">
        <v>0</v>
      </c>
      <c r="BI63" s="11" t="n">
        <v>0</v>
      </c>
      <c r="BJ63" s="11" t="n">
        <v>0</v>
      </c>
      <c r="BK63" s="11" t="n">
        <v>0</v>
      </c>
      <c r="BL63" s="11" t="n">
        <v>18</v>
      </c>
      <c r="BM63" s="11" t="n">
        <v>0</v>
      </c>
      <c r="BN63" s="11" t="n">
        <v>6</v>
      </c>
      <c r="BO63" s="11" t="n">
        <v>0</v>
      </c>
      <c r="BP63" s="11" t="n">
        <v>0</v>
      </c>
      <c r="BQ63" s="11" t="n">
        <v>0</v>
      </c>
      <c r="BR63" s="11" t="n">
        <v>0</v>
      </c>
      <c r="BS63" s="11" t="n">
        <v>0</v>
      </c>
      <c r="BT63" s="11" t="n">
        <v>0</v>
      </c>
      <c r="BU63" s="11" t="n">
        <v>0</v>
      </c>
      <c r="BV63" s="11" t="n">
        <v>0</v>
      </c>
      <c r="BW63" s="11" t="n">
        <v>1.5</v>
      </c>
      <c r="BX63" s="11" t="n">
        <v>0</v>
      </c>
      <c r="BY63" s="11" t="n">
        <v>0</v>
      </c>
      <c r="BZ63" s="11" t="n">
        <v>0</v>
      </c>
      <c r="CA63" s="11" t="n">
        <v>0</v>
      </c>
      <c r="CB63" s="11" t="n">
        <v>0</v>
      </c>
      <c r="CC63" s="11" t="n">
        <v>0</v>
      </c>
      <c r="CD63" s="11" t="n">
        <v>0</v>
      </c>
      <c r="CE63" s="11" t="n">
        <v>0</v>
      </c>
    </row>
    <row r="64">
      <c r="A64" s="14" t="inlineStr">
        <is>
          <t>2025-10-01</t>
        </is>
      </c>
      <c r="B64" s="8" t="n">
        <v>0</v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3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10</v>
      </c>
      <c r="S64" s="8" t="n">
        <v>0</v>
      </c>
      <c r="T64" s="8" t="n">
        <v>0</v>
      </c>
      <c r="U64" s="8" t="n">
        <v>0</v>
      </c>
      <c r="V64" s="8" t="n">
        <v>1.7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16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2</v>
      </c>
      <c r="AO64" s="8" t="n">
        <v>0</v>
      </c>
      <c r="AP64" s="8" t="n">
        <v>0</v>
      </c>
      <c r="AQ64" s="8" t="n">
        <v>0</v>
      </c>
      <c r="AR64" s="8" t="n">
        <v>0</v>
      </c>
      <c r="AS64" s="8" t="n">
        <v>4</v>
      </c>
      <c r="AT64" s="8" t="n">
        <v>0</v>
      </c>
      <c r="AU64" s="8" t="n">
        <v>0</v>
      </c>
      <c r="AV64" s="8" t="n">
        <v>0</v>
      </c>
      <c r="AW64" s="8" t="n">
        <v>0</v>
      </c>
      <c r="AX64" s="8" t="n">
        <v>0</v>
      </c>
      <c r="AY64" s="8" t="n">
        <v>0</v>
      </c>
      <c r="AZ64" s="8" t="n">
        <v>3</v>
      </c>
      <c r="BA64" s="8" t="n">
        <v>3</v>
      </c>
      <c r="BB64" s="8" t="n">
        <v>0</v>
      </c>
      <c r="BC64" s="8" t="n">
        <v>0</v>
      </c>
      <c r="BD64" s="8" t="n">
        <v>0</v>
      </c>
      <c r="BE64" s="8" t="n">
        <v>0</v>
      </c>
      <c r="BF64" s="8" t="n">
        <v>0</v>
      </c>
      <c r="BG64" s="8" t="n">
        <v>0</v>
      </c>
      <c r="BH64" s="8" t="n">
        <v>0</v>
      </c>
      <c r="BI64" s="8" t="n">
        <v>0</v>
      </c>
      <c r="BJ64" s="8" t="n">
        <v>0</v>
      </c>
      <c r="BK64" s="8" t="n">
        <v>0</v>
      </c>
      <c r="BL64" s="8" t="n">
        <v>18</v>
      </c>
      <c r="BM64" s="8" t="n">
        <v>0</v>
      </c>
      <c r="BN64" s="8" t="n">
        <v>6</v>
      </c>
      <c r="BO64" s="8" t="n">
        <v>0</v>
      </c>
      <c r="BP64" s="8" t="n">
        <v>0</v>
      </c>
      <c r="BQ64" s="8" t="n">
        <v>0</v>
      </c>
      <c r="BR64" s="8" t="n">
        <v>0</v>
      </c>
      <c r="BS64" s="8" t="n">
        <v>0</v>
      </c>
      <c r="BT64" s="8" t="n">
        <v>0</v>
      </c>
      <c r="BU64" s="8" t="n">
        <v>0</v>
      </c>
      <c r="BV64" s="8" t="n">
        <v>0</v>
      </c>
      <c r="BW64" s="8" t="n">
        <v>1.5</v>
      </c>
      <c r="BX64" s="8" t="n">
        <v>0</v>
      </c>
      <c r="BY64" s="8" t="n">
        <v>0</v>
      </c>
      <c r="BZ64" s="8" t="n">
        <v>0</v>
      </c>
      <c r="CA64" s="8" t="n">
        <v>0</v>
      </c>
      <c r="CB64" s="8" t="n">
        <v>0</v>
      </c>
      <c r="CC64" s="8" t="n">
        <v>0</v>
      </c>
      <c r="CD64" s="8" t="n">
        <v>0</v>
      </c>
      <c r="CE64" s="8" t="n">
        <v>0</v>
      </c>
    </row>
    <row r="65">
      <c r="A65" s="15" t="inlineStr">
        <is>
          <t>2025-10-02</t>
        </is>
      </c>
      <c r="B65" s="11" t="n">
        <v>0</v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3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0</v>
      </c>
      <c r="R65" s="11" t="n">
        <v>10</v>
      </c>
      <c r="S65" s="11" t="n">
        <v>0</v>
      </c>
      <c r="T65" s="11" t="n">
        <v>0</v>
      </c>
      <c r="U65" s="11" t="n">
        <v>0</v>
      </c>
      <c r="V65" s="11" t="n">
        <v>1.7</v>
      </c>
      <c r="W65" s="11" t="n">
        <v>0</v>
      </c>
      <c r="X65" s="11" t="n">
        <v>0</v>
      </c>
      <c r="Y65" s="11" t="n">
        <v>0</v>
      </c>
      <c r="Z65" s="11" t="n">
        <v>0</v>
      </c>
      <c r="AA65" s="11" t="n">
        <v>0</v>
      </c>
      <c r="AB65" s="11" t="n">
        <v>0</v>
      </c>
      <c r="AC65" s="11" t="n">
        <v>0</v>
      </c>
      <c r="AD65" s="11" t="n">
        <v>0</v>
      </c>
      <c r="AE65" s="11" t="n">
        <v>0</v>
      </c>
      <c r="AF65" s="11" t="n">
        <v>16</v>
      </c>
      <c r="AG65" s="11" t="n">
        <v>0</v>
      </c>
      <c r="AH65" s="11" t="n">
        <v>0</v>
      </c>
      <c r="AI65" s="11" t="n">
        <v>0</v>
      </c>
      <c r="AJ65" s="11" t="n">
        <v>0</v>
      </c>
      <c r="AK65" s="11" t="n">
        <v>0</v>
      </c>
      <c r="AL65" s="11" t="n">
        <v>0</v>
      </c>
      <c r="AM65" s="11" t="n">
        <v>0</v>
      </c>
      <c r="AN65" s="11" t="n">
        <v>1</v>
      </c>
      <c r="AO65" s="11" t="n">
        <v>0</v>
      </c>
      <c r="AP65" s="11" t="n">
        <v>0</v>
      </c>
      <c r="AQ65" s="11" t="n">
        <v>0</v>
      </c>
      <c r="AR65" s="11" t="n">
        <v>0</v>
      </c>
      <c r="AS65" s="11" t="n">
        <v>4</v>
      </c>
      <c r="AT65" s="11" t="n">
        <v>0</v>
      </c>
      <c r="AU65" s="11" t="n">
        <v>0</v>
      </c>
      <c r="AV65" s="11" t="n">
        <v>0</v>
      </c>
      <c r="AW65" s="11" t="n">
        <v>0</v>
      </c>
      <c r="AX65" s="11" t="n">
        <v>0</v>
      </c>
      <c r="AY65" s="11" t="n">
        <v>0</v>
      </c>
      <c r="AZ65" s="11" t="n">
        <v>3</v>
      </c>
      <c r="BA65" s="11" t="n">
        <v>3</v>
      </c>
      <c r="BB65" s="11" t="n">
        <v>0</v>
      </c>
      <c r="BC65" s="11" t="n">
        <v>0</v>
      </c>
      <c r="BD65" s="11" t="n">
        <v>0</v>
      </c>
      <c r="BE65" s="11" t="n">
        <v>4</v>
      </c>
      <c r="BF65" s="11" t="n">
        <v>0</v>
      </c>
      <c r="BG65" s="11" t="n">
        <v>0</v>
      </c>
      <c r="BH65" s="11" t="n">
        <v>0</v>
      </c>
      <c r="BI65" s="11" t="n">
        <v>0</v>
      </c>
      <c r="BJ65" s="11" t="n">
        <v>0</v>
      </c>
      <c r="BK65" s="11" t="n">
        <v>0</v>
      </c>
      <c r="BL65" s="11" t="n">
        <v>18</v>
      </c>
      <c r="BM65" s="11" t="n">
        <v>0</v>
      </c>
      <c r="BN65" s="11" t="n">
        <v>6</v>
      </c>
      <c r="BO65" s="11" t="n">
        <v>0</v>
      </c>
      <c r="BP65" s="11" t="n">
        <v>0</v>
      </c>
      <c r="BQ65" s="11" t="n">
        <v>0</v>
      </c>
      <c r="BR65" s="11" t="n">
        <v>0</v>
      </c>
      <c r="BS65" s="11" t="n">
        <v>0</v>
      </c>
      <c r="BT65" s="11" t="n">
        <v>0</v>
      </c>
      <c r="BU65" s="11" t="n">
        <v>0</v>
      </c>
      <c r="BV65" s="11" t="n">
        <v>0</v>
      </c>
      <c r="BW65" s="11" t="n">
        <v>1.5</v>
      </c>
      <c r="BX65" s="11" t="n">
        <v>0</v>
      </c>
      <c r="BY65" s="11" t="n">
        <v>0</v>
      </c>
      <c r="BZ65" s="11" t="n">
        <v>0</v>
      </c>
      <c r="CA65" s="11" t="n">
        <v>0</v>
      </c>
      <c r="CB65" s="11" t="n">
        <v>0</v>
      </c>
      <c r="CC65" s="11" t="n">
        <v>0</v>
      </c>
      <c r="CD65" s="11" t="n">
        <v>0</v>
      </c>
      <c r="CE65" s="11" t="n">
        <v>0</v>
      </c>
    </row>
    <row r="66">
      <c r="A66" s="14" t="inlineStr">
        <is>
          <t>2025-10-03</t>
        </is>
      </c>
      <c r="B66" s="8" t="n">
        <v>0</v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3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10</v>
      </c>
      <c r="S66" s="8" t="n">
        <v>0</v>
      </c>
      <c r="T66" s="8" t="n">
        <v>0</v>
      </c>
      <c r="U66" s="8" t="n">
        <v>0</v>
      </c>
      <c r="V66" s="8" t="n">
        <v>1.7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16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1</v>
      </c>
      <c r="AO66" s="8" t="n">
        <v>0</v>
      </c>
      <c r="AP66" s="8" t="n">
        <v>0</v>
      </c>
      <c r="AQ66" s="8" t="n">
        <v>0</v>
      </c>
      <c r="AR66" s="8" t="n">
        <v>0</v>
      </c>
      <c r="AS66" s="8" t="n">
        <v>4</v>
      </c>
      <c r="AT66" s="8" t="n">
        <v>0</v>
      </c>
      <c r="AU66" s="8" t="n">
        <v>0</v>
      </c>
      <c r="AV66" s="8" t="n">
        <v>0</v>
      </c>
      <c r="AW66" s="8" t="n">
        <v>0</v>
      </c>
      <c r="AX66" s="8" t="n">
        <v>0</v>
      </c>
      <c r="AY66" s="8" t="n">
        <v>0</v>
      </c>
      <c r="AZ66" s="8" t="n">
        <v>3</v>
      </c>
      <c r="BA66" s="8" t="n">
        <v>3</v>
      </c>
      <c r="BB66" s="8" t="n">
        <v>0</v>
      </c>
      <c r="BC66" s="8" t="n">
        <v>0</v>
      </c>
      <c r="BD66" s="8" t="n">
        <v>0</v>
      </c>
      <c r="BE66" s="8" t="n">
        <v>4</v>
      </c>
      <c r="BF66" s="8" t="n">
        <v>0</v>
      </c>
      <c r="BG66" s="8" t="n">
        <v>0</v>
      </c>
      <c r="BH66" s="8" t="n">
        <v>0</v>
      </c>
      <c r="BI66" s="8" t="n">
        <v>0</v>
      </c>
      <c r="BJ66" s="8" t="n">
        <v>0</v>
      </c>
      <c r="BK66" s="8" t="n">
        <v>0</v>
      </c>
      <c r="BL66" s="8" t="n">
        <v>18</v>
      </c>
      <c r="BM66" s="8" t="n">
        <v>0</v>
      </c>
      <c r="BN66" s="8" t="n">
        <v>6</v>
      </c>
      <c r="BO66" s="8" t="n">
        <v>0</v>
      </c>
      <c r="BP66" s="8" t="n">
        <v>0</v>
      </c>
      <c r="BQ66" s="8" t="n">
        <v>0</v>
      </c>
      <c r="BR66" s="8" t="n">
        <v>0</v>
      </c>
      <c r="BS66" s="8" t="n">
        <v>0</v>
      </c>
      <c r="BT66" s="8" t="n">
        <v>0</v>
      </c>
      <c r="BU66" s="8" t="n">
        <v>0</v>
      </c>
      <c r="BV66" s="8" t="n">
        <v>0</v>
      </c>
      <c r="BW66" s="8" t="n">
        <v>1.5</v>
      </c>
      <c r="BX66" s="8" t="n">
        <v>0</v>
      </c>
      <c r="BY66" s="8" t="n">
        <v>0</v>
      </c>
      <c r="BZ66" s="8" t="n">
        <v>0</v>
      </c>
      <c r="CA66" s="8" t="n">
        <v>0</v>
      </c>
      <c r="CB66" s="8" t="n">
        <v>0</v>
      </c>
      <c r="CC66" s="8" t="n">
        <v>0</v>
      </c>
      <c r="CD66" s="8" t="n">
        <v>0</v>
      </c>
      <c r="CE66" s="8" t="n">
        <v>0</v>
      </c>
    </row>
    <row r="67">
      <c r="A67" s="15" t="inlineStr">
        <is>
          <t>2025-10-06</t>
        </is>
      </c>
      <c r="B67" s="11" t="n">
        <v>0</v>
      </c>
      <c r="C67" s="11" t="n">
        <v>0</v>
      </c>
      <c r="D67" s="11" t="n">
        <v>0</v>
      </c>
      <c r="E67" s="11" t="n">
        <v>0</v>
      </c>
      <c r="F67" s="11" t="n">
        <v>0</v>
      </c>
      <c r="G67" s="11" t="n">
        <v>3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  <c r="P67" s="11" t="n">
        <v>0</v>
      </c>
      <c r="Q67" s="11" t="n">
        <v>0</v>
      </c>
      <c r="R67" s="11" t="n">
        <v>10</v>
      </c>
      <c r="S67" s="11" t="n">
        <v>0</v>
      </c>
      <c r="T67" s="11" t="n">
        <v>0</v>
      </c>
      <c r="U67" s="11" t="n">
        <v>0</v>
      </c>
      <c r="V67" s="11" t="n">
        <v>1.7</v>
      </c>
      <c r="W67" s="11" t="n">
        <v>0</v>
      </c>
      <c r="X67" s="11" t="n">
        <v>0</v>
      </c>
      <c r="Y67" s="11" t="n">
        <v>0</v>
      </c>
      <c r="Z67" s="11" t="n">
        <v>0</v>
      </c>
      <c r="AA67" s="11" t="n">
        <v>0</v>
      </c>
      <c r="AB67" s="11" t="n">
        <v>0</v>
      </c>
      <c r="AC67" s="11" t="n">
        <v>0</v>
      </c>
      <c r="AD67" s="11" t="n">
        <v>0</v>
      </c>
      <c r="AE67" s="11" t="n">
        <v>0</v>
      </c>
      <c r="AF67" s="11" t="n">
        <v>16</v>
      </c>
      <c r="AG67" s="11" t="n">
        <v>0</v>
      </c>
      <c r="AH67" s="11" t="n">
        <v>0</v>
      </c>
      <c r="AI67" s="11" t="n">
        <v>0</v>
      </c>
      <c r="AJ67" s="11" t="n">
        <v>0</v>
      </c>
      <c r="AK67" s="11" t="n">
        <v>0</v>
      </c>
      <c r="AL67" s="11" t="n">
        <v>0</v>
      </c>
      <c r="AM67" s="11" t="n">
        <v>0</v>
      </c>
      <c r="AN67" s="11" t="n">
        <v>1</v>
      </c>
      <c r="AO67" s="11" t="n">
        <v>0</v>
      </c>
      <c r="AP67" s="11" t="n">
        <v>0</v>
      </c>
      <c r="AQ67" s="11" t="n">
        <v>0</v>
      </c>
      <c r="AR67" s="11" t="n">
        <v>0</v>
      </c>
      <c r="AS67" s="11" t="n">
        <v>4</v>
      </c>
      <c r="AT67" s="11" t="n">
        <v>0</v>
      </c>
      <c r="AU67" s="11" t="n">
        <v>0</v>
      </c>
      <c r="AV67" s="11" t="n">
        <v>0</v>
      </c>
      <c r="AW67" s="11" t="n">
        <v>0</v>
      </c>
      <c r="AX67" s="11" t="n">
        <v>0</v>
      </c>
      <c r="AY67" s="11" t="n">
        <v>0</v>
      </c>
      <c r="AZ67" s="11" t="n">
        <v>3</v>
      </c>
      <c r="BA67" s="11" t="n">
        <v>3</v>
      </c>
      <c r="BB67" s="11" t="n">
        <v>0</v>
      </c>
      <c r="BC67" s="11" t="n">
        <v>0</v>
      </c>
      <c r="BD67" s="11" t="n">
        <v>0</v>
      </c>
      <c r="BE67" s="11" t="n">
        <v>4</v>
      </c>
      <c r="BF67" s="11" t="n">
        <v>0</v>
      </c>
      <c r="BG67" s="11" t="n">
        <v>0</v>
      </c>
      <c r="BH67" s="11" t="n">
        <v>0</v>
      </c>
      <c r="BI67" s="11" t="n">
        <v>0</v>
      </c>
      <c r="BJ67" s="11" t="n">
        <v>0</v>
      </c>
      <c r="BK67" s="11" t="n">
        <v>0</v>
      </c>
      <c r="BL67" s="11" t="n">
        <v>18</v>
      </c>
      <c r="BM67" s="11" t="n">
        <v>0</v>
      </c>
      <c r="BN67" s="11" t="n">
        <v>6</v>
      </c>
      <c r="BO67" s="11" t="n">
        <v>0</v>
      </c>
      <c r="BP67" s="11" t="n">
        <v>0</v>
      </c>
      <c r="BQ67" s="11" t="n">
        <v>0</v>
      </c>
      <c r="BR67" s="11" t="n">
        <v>0</v>
      </c>
      <c r="BS67" s="11" t="n">
        <v>0</v>
      </c>
      <c r="BT67" s="11" t="n">
        <v>0</v>
      </c>
      <c r="BU67" s="11" t="n">
        <v>0</v>
      </c>
      <c r="BV67" s="11" t="n">
        <v>0</v>
      </c>
      <c r="BW67" s="11" t="n">
        <v>1.5</v>
      </c>
      <c r="BX67" s="11" t="n">
        <v>0</v>
      </c>
      <c r="BY67" s="11" t="n">
        <v>0</v>
      </c>
      <c r="BZ67" s="11" t="n">
        <v>0</v>
      </c>
      <c r="CA67" s="11" t="n">
        <v>0</v>
      </c>
      <c r="CB67" s="11" t="n">
        <v>0</v>
      </c>
      <c r="CC67" s="11" t="n">
        <v>0</v>
      </c>
      <c r="CD67" s="11" t="n">
        <v>0</v>
      </c>
      <c r="CE67" s="11" t="n">
        <v>0</v>
      </c>
    </row>
    <row r="68">
      <c r="A68" s="14" t="inlineStr">
        <is>
          <t>2025-10-07</t>
        </is>
      </c>
      <c r="B68" s="8" t="n">
        <v>0</v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3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10</v>
      </c>
      <c r="S68" s="8" t="n">
        <v>0</v>
      </c>
      <c r="T68" s="8" t="n">
        <v>0</v>
      </c>
      <c r="U68" s="8" t="n">
        <v>0</v>
      </c>
      <c r="V68" s="8" t="n">
        <v>1.7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16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1</v>
      </c>
      <c r="AO68" s="8" t="n">
        <v>0</v>
      </c>
      <c r="AP68" s="8" t="n">
        <v>0</v>
      </c>
      <c r="AQ68" s="8" t="n">
        <v>0</v>
      </c>
      <c r="AR68" s="8" t="n">
        <v>0</v>
      </c>
      <c r="AS68" s="8" t="n">
        <v>4</v>
      </c>
      <c r="AT68" s="8" t="n">
        <v>0</v>
      </c>
      <c r="AU68" s="8" t="n">
        <v>0</v>
      </c>
      <c r="AV68" s="8" t="n">
        <v>0</v>
      </c>
      <c r="AW68" s="8" t="n">
        <v>0</v>
      </c>
      <c r="AX68" s="8" t="n">
        <v>0</v>
      </c>
      <c r="AY68" s="8" t="n">
        <v>0</v>
      </c>
      <c r="AZ68" s="8" t="n">
        <v>3</v>
      </c>
      <c r="BA68" s="8" t="n">
        <v>3</v>
      </c>
      <c r="BB68" s="8" t="n">
        <v>0</v>
      </c>
      <c r="BC68" s="8" t="n">
        <v>0</v>
      </c>
      <c r="BD68" s="8" t="n">
        <v>0</v>
      </c>
      <c r="BE68" s="8" t="n">
        <v>4</v>
      </c>
      <c r="BF68" s="8" t="n">
        <v>0</v>
      </c>
      <c r="BG68" s="8" t="n">
        <v>0</v>
      </c>
      <c r="BH68" s="8" t="n">
        <v>0</v>
      </c>
      <c r="BI68" s="8" t="n">
        <v>0</v>
      </c>
      <c r="BJ68" s="8" t="n">
        <v>0</v>
      </c>
      <c r="BK68" s="8" t="n">
        <v>0</v>
      </c>
      <c r="BL68" s="8" t="n">
        <v>18</v>
      </c>
      <c r="BM68" s="8" t="n">
        <v>0</v>
      </c>
      <c r="BN68" s="8" t="n">
        <v>6</v>
      </c>
      <c r="BO68" s="8" t="n">
        <v>0</v>
      </c>
      <c r="BP68" s="8" t="n">
        <v>0</v>
      </c>
      <c r="BQ68" s="8" t="n">
        <v>0</v>
      </c>
      <c r="BR68" s="8" t="n">
        <v>0</v>
      </c>
      <c r="BS68" s="8" t="n">
        <v>0</v>
      </c>
      <c r="BT68" s="8" t="n">
        <v>0</v>
      </c>
      <c r="BU68" s="8" t="n">
        <v>0</v>
      </c>
      <c r="BV68" s="8" t="n">
        <v>0</v>
      </c>
      <c r="BW68" s="8" t="n">
        <v>1.5</v>
      </c>
      <c r="BX68" s="8" t="n">
        <v>0</v>
      </c>
      <c r="BY68" s="8" t="n">
        <v>0</v>
      </c>
      <c r="BZ68" s="8" t="n">
        <v>0</v>
      </c>
      <c r="CA68" s="8" t="n">
        <v>0</v>
      </c>
      <c r="CB68" s="8" t="n">
        <v>0</v>
      </c>
      <c r="CC68" s="8" t="n">
        <v>0</v>
      </c>
      <c r="CD68" s="8" t="n">
        <v>0</v>
      </c>
      <c r="CE68" s="8" t="n">
        <v>0</v>
      </c>
    </row>
    <row r="69">
      <c r="A69" s="15" t="inlineStr">
        <is>
          <t>2025-10-08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3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  <c r="P69" s="11" t="n">
        <v>0</v>
      </c>
      <c r="Q69" s="11" t="n">
        <v>0</v>
      </c>
      <c r="R69" s="11" t="n">
        <v>10</v>
      </c>
      <c r="S69" s="11" t="n">
        <v>0</v>
      </c>
      <c r="T69" s="11" t="n">
        <v>0</v>
      </c>
      <c r="U69" s="11" t="n">
        <v>0</v>
      </c>
      <c r="V69" s="11" t="n">
        <v>3.7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1" t="n">
        <v>0</v>
      </c>
      <c r="AE69" s="11" t="n">
        <v>0</v>
      </c>
      <c r="AF69" s="11" t="n">
        <v>10</v>
      </c>
      <c r="AG69" s="11" t="n">
        <v>0</v>
      </c>
      <c r="AH69" s="11" t="n">
        <v>0</v>
      </c>
      <c r="AI69" s="11" t="n">
        <v>0</v>
      </c>
      <c r="AJ69" s="11" t="n">
        <v>0</v>
      </c>
      <c r="AK69" s="11" t="n">
        <v>0</v>
      </c>
      <c r="AL69" s="11" t="n">
        <v>0</v>
      </c>
      <c r="AM69" s="11" t="n">
        <v>0</v>
      </c>
      <c r="AN69" s="11" t="n">
        <v>0</v>
      </c>
      <c r="AO69" s="11" t="n">
        <v>0</v>
      </c>
      <c r="AP69" s="11" t="n">
        <v>0</v>
      </c>
      <c r="AQ69" s="11" t="n">
        <v>0</v>
      </c>
      <c r="AR69" s="11" t="n">
        <v>0</v>
      </c>
      <c r="AS69" s="11" t="n">
        <v>4</v>
      </c>
      <c r="AT69" s="11" t="n">
        <v>0</v>
      </c>
      <c r="AU69" s="11" t="n">
        <v>0</v>
      </c>
      <c r="AV69" s="11" t="n">
        <v>0</v>
      </c>
      <c r="AW69" s="11" t="n">
        <v>0</v>
      </c>
      <c r="AX69" s="11" t="n">
        <v>0</v>
      </c>
      <c r="AY69" s="11" t="n">
        <v>0</v>
      </c>
      <c r="AZ69" s="11" t="n">
        <v>3</v>
      </c>
      <c r="BA69" s="11" t="n">
        <v>3</v>
      </c>
      <c r="BB69" s="11" t="n">
        <v>0</v>
      </c>
      <c r="BC69" s="11" t="n">
        <v>0</v>
      </c>
      <c r="BD69" s="11" t="n">
        <v>0</v>
      </c>
      <c r="BE69" s="11" t="n">
        <v>4</v>
      </c>
      <c r="BF69" s="11" t="n">
        <v>0</v>
      </c>
      <c r="BG69" s="11" t="n">
        <v>0</v>
      </c>
      <c r="BH69" s="11" t="n">
        <v>0</v>
      </c>
      <c r="BI69" s="11" t="n">
        <v>0</v>
      </c>
      <c r="BJ69" s="11" t="n">
        <v>0</v>
      </c>
      <c r="BK69" s="11" t="n">
        <v>0</v>
      </c>
      <c r="BL69" s="11" t="n">
        <v>18</v>
      </c>
      <c r="BM69" s="11" t="n">
        <v>0</v>
      </c>
      <c r="BN69" s="11" t="n">
        <v>6</v>
      </c>
      <c r="BO69" s="11" t="n">
        <v>0</v>
      </c>
      <c r="BP69" s="11" t="n">
        <v>0</v>
      </c>
      <c r="BQ69" s="11" t="n">
        <v>0</v>
      </c>
      <c r="BR69" s="11" t="n">
        <v>0</v>
      </c>
      <c r="BS69" s="11" t="n">
        <v>0</v>
      </c>
      <c r="BT69" s="11" t="n">
        <v>0</v>
      </c>
      <c r="BU69" s="11" t="n">
        <v>0</v>
      </c>
      <c r="BV69" s="11" t="n">
        <v>0</v>
      </c>
      <c r="BW69" s="11" t="n">
        <v>1.5</v>
      </c>
      <c r="BX69" s="11" t="n">
        <v>0</v>
      </c>
      <c r="BY69" s="11" t="n">
        <v>0</v>
      </c>
      <c r="BZ69" s="11" t="n">
        <v>0</v>
      </c>
      <c r="CA69" s="11" t="n">
        <v>0</v>
      </c>
      <c r="CB69" s="11" t="n">
        <v>0</v>
      </c>
      <c r="CC69" s="11" t="n">
        <v>0</v>
      </c>
      <c r="CD69" s="11" t="n">
        <v>0</v>
      </c>
      <c r="CE69" s="11" t="n">
        <v>0</v>
      </c>
    </row>
    <row r="70">
      <c r="A70" s="14" t="inlineStr">
        <is>
          <t>2025-10-09</t>
        </is>
      </c>
      <c r="B70" s="8" t="n">
        <v>0</v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3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8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10</v>
      </c>
      <c r="S70" s="8" t="n">
        <v>0</v>
      </c>
      <c r="T70" s="8" t="n">
        <v>0</v>
      </c>
      <c r="U70" s="8" t="n">
        <v>0</v>
      </c>
      <c r="V70" s="8" t="n">
        <v>3.7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10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</v>
      </c>
      <c r="AR70" s="8" t="n">
        <v>0</v>
      </c>
      <c r="AS70" s="8" t="n">
        <v>4</v>
      </c>
      <c r="AT70" s="8" t="n">
        <v>0</v>
      </c>
      <c r="AU70" s="8" t="n">
        <v>0</v>
      </c>
      <c r="AV70" s="8" t="n">
        <v>0</v>
      </c>
      <c r="AW70" s="8" t="n">
        <v>0</v>
      </c>
      <c r="AX70" s="8" t="n">
        <v>0</v>
      </c>
      <c r="AY70" s="8" t="n">
        <v>0</v>
      </c>
      <c r="AZ70" s="8" t="n">
        <v>3</v>
      </c>
      <c r="BA70" s="8" t="n">
        <v>3</v>
      </c>
      <c r="BB70" s="8" t="n">
        <v>0</v>
      </c>
      <c r="BC70" s="8" t="n">
        <v>0</v>
      </c>
      <c r="BD70" s="8" t="n">
        <v>0</v>
      </c>
      <c r="BE70" s="8" t="n">
        <v>4</v>
      </c>
      <c r="BF70" s="8" t="n">
        <v>0</v>
      </c>
      <c r="BG70" s="8" t="n">
        <v>0</v>
      </c>
      <c r="BH70" s="8" t="n">
        <v>0</v>
      </c>
      <c r="BI70" s="8" t="n">
        <v>0</v>
      </c>
      <c r="BJ70" s="8" t="n">
        <v>0</v>
      </c>
      <c r="BK70" s="8" t="n">
        <v>0</v>
      </c>
      <c r="BL70" s="8" t="n">
        <v>18</v>
      </c>
      <c r="BM70" s="8" t="n">
        <v>0</v>
      </c>
      <c r="BN70" s="8" t="n">
        <v>6</v>
      </c>
      <c r="BO70" s="8" t="n">
        <v>0</v>
      </c>
      <c r="BP70" s="8" t="n">
        <v>0</v>
      </c>
      <c r="BQ70" s="8" t="n">
        <v>0</v>
      </c>
      <c r="BR70" s="8" t="n">
        <v>0</v>
      </c>
      <c r="BS70" s="8" t="n">
        <v>0</v>
      </c>
      <c r="BT70" s="8" t="n">
        <v>0</v>
      </c>
      <c r="BU70" s="8" t="n">
        <v>0</v>
      </c>
      <c r="BV70" s="8" t="n">
        <v>0</v>
      </c>
      <c r="BW70" s="8" t="n">
        <v>1.5</v>
      </c>
      <c r="BX70" s="8" t="n">
        <v>0</v>
      </c>
      <c r="BY70" s="8" t="n">
        <v>0</v>
      </c>
      <c r="BZ70" s="8" t="n">
        <v>0</v>
      </c>
      <c r="CA70" s="8" t="n">
        <v>0</v>
      </c>
      <c r="CB70" s="8" t="n">
        <v>0</v>
      </c>
      <c r="CC70" s="8" t="n">
        <v>0</v>
      </c>
      <c r="CD70" s="8" t="n">
        <v>0</v>
      </c>
      <c r="CE70" s="8" t="n">
        <v>0</v>
      </c>
    </row>
    <row r="71">
      <c r="A71" s="15" t="inlineStr">
        <is>
          <t>2025-10-10</t>
        </is>
      </c>
      <c r="B71" s="11" t="n">
        <v>0</v>
      </c>
      <c r="C71" s="11" t="n">
        <v>0</v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8</v>
      </c>
      <c r="N71" s="11" t="n">
        <v>0</v>
      </c>
      <c r="O71" s="11" t="n">
        <v>0</v>
      </c>
      <c r="P71" s="11" t="n">
        <v>0</v>
      </c>
      <c r="Q71" s="11" t="n">
        <v>0</v>
      </c>
      <c r="R71" s="11" t="n">
        <v>10</v>
      </c>
      <c r="S71" s="11" t="n">
        <v>0</v>
      </c>
      <c r="T71" s="11" t="n">
        <v>0</v>
      </c>
      <c r="U71" s="11" t="n">
        <v>0</v>
      </c>
      <c r="V71" s="11" t="n">
        <v>3.7</v>
      </c>
      <c r="W71" s="11" t="n">
        <v>0</v>
      </c>
      <c r="X71" s="11" t="n">
        <v>0</v>
      </c>
      <c r="Y71" s="11" t="n">
        <v>0</v>
      </c>
      <c r="Z71" s="11" t="n">
        <v>0</v>
      </c>
      <c r="AA71" s="11" t="n">
        <v>0</v>
      </c>
      <c r="AB71" s="11" t="n">
        <v>0</v>
      </c>
      <c r="AC71" s="11" t="n">
        <v>0</v>
      </c>
      <c r="AD71" s="11" t="n">
        <v>0</v>
      </c>
      <c r="AE71" s="11" t="n">
        <v>0</v>
      </c>
      <c r="AF71" s="11" t="n">
        <v>10</v>
      </c>
      <c r="AG71" s="11" t="n">
        <v>0</v>
      </c>
      <c r="AH71" s="11" t="n">
        <v>0</v>
      </c>
      <c r="AI71" s="11" t="n">
        <v>0</v>
      </c>
      <c r="AJ71" s="11" t="n">
        <v>0</v>
      </c>
      <c r="AK71" s="11" t="n">
        <v>0</v>
      </c>
      <c r="AL71" s="11" t="n">
        <v>0</v>
      </c>
      <c r="AM71" s="11" t="n">
        <v>0</v>
      </c>
      <c r="AN71" s="11" t="n">
        <v>0</v>
      </c>
      <c r="AO71" s="11" t="n">
        <v>0</v>
      </c>
      <c r="AP71" s="11" t="n">
        <v>0</v>
      </c>
      <c r="AQ71" s="11" t="n">
        <v>0</v>
      </c>
      <c r="AR71" s="11" t="n">
        <v>3</v>
      </c>
      <c r="AS71" s="11" t="n">
        <v>4</v>
      </c>
      <c r="AT71" s="11" t="n">
        <v>0</v>
      </c>
      <c r="AU71" s="11" t="n">
        <v>0</v>
      </c>
      <c r="AV71" s="11" t="n">
        <v>0</v>
      </c>
      <c r="AW71" s="11" t="n">
        <v>0</v>
      </c>
      <c r="AX71" s="11" t="n">
        <v>0</v>
      </c>
      <c r="AY71" s="11" t="n">
        <v>0</v>
      </c>
      <c r="AZ71" s="11" t="n">
        <v>3</v>
      </c>
      <c r="BA71" s="11" t="n">
        <v>3</v>
      </c>
      <c r="BB71" s="11" t="n">
        <v>0</v>
      </c>
      <c r="BC71" s="11" t="n">
        <v>0</v>
      </c>
      <c r="BD71" s="11" t="n">
        <v>0</v>
      </c>
      <c r="BE71" s="11" t="n">
        <v>0</v>
      </c>
      <c r="BF71" s="11" t="n">
        <v>0</v>
      </c>
      <c r="BG71" s="11" t="n">
        <v>0</v>
      </c>
      <c r="BH71" s="11" t="n">
        <v>0</v>
      </c>
      <c r="BI71" s="11" t="n">
        <v>0</v>
      </c>
      <c r="BJ71" s="11" t="n">
        <v>0</v>
      </c>
      <c r="BK71" s="11" t="n">
        <v>0</v>
      </c>
      <c r="BL71" s="11" t="n">
        <v>18</v>
      </c>
      <c r="BM71" s="11" t="n">
        <v>0</v>
      </c>
      <c r="BN71" s="11" t="n">
        <v>6</v>
      </c>
      <c r="BO71" s="11" t="n">
        <v>0</v>
      </c>
      <c r="BP71" s="11" t="n">
        <v>0</v>
      </c>
      <c r="BQ71" s="11" t="n">
        <v>0</v>
      </c>
      <c r="BR71" s="11" t="n">
        <v>0</v>
      </c>
      <c r="BS71" s="11" t="n">
        <v>0</v>
      </c>
      <c r="BT71" s="11" t="n">
        <v>0</v>
      </c>
      <c r="BU71" s="11" t="n">
        <v>0</v>
      </c>
      <c r="BV71" s="11" t="n">
        <v>0</v>
      </c>
      <c r="BW71" s="11" t="n">
        <v>1.5</v>
      </c>
      <c r="BX71" s="11" t="n">
        <v>0</v>
      </c>
      <c r="BY71" s="11" t="n">
        <v>0</v>
      </c>
      <c r="BZ71" s="11" t="n">
        <v>0</v>
      </c>
      <c r="CA71" s="11" t="n">
        <v>0</v>
      </c>
      <c r="CB71" s="11" t="n">
        <v>0</v>
      </c>
      <c r="CC71" s="11" t="n">
        <v>0</v>
      </c>
      <c r="CD71" s="11" t="n">
        <v>0</v>
      </c>
      <c r="CE71" s="11" t="n">
        <v>0</v>
      </c>
    </row>
    <row r="72">
      <c r="A72" s="14" t="inlineStr">
        <is>
          <t>2025-10-13</t>
        </is>
      </c>
      <c r="B72" s="8" t="n">
        <v>0</v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2</v>
      </c>
      <c r="J72" s="8" t="n">
        <v>0</v>
      </c>
      <c r="K72" s="8" t="n">
        <v>0</v>
      </c>
      <c r="L72" s="8" t="n">
        <v>0</v>
      </c>
      <c r="M72" s="8" t="n">
        <v>8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10</v>
      </c>
      <c r="S72" s="8" t="n">
        <v>0</v>
      </c>
      <c r="T72" s="8" t="n">
        <v>0</v>
      </c>
      <c r="U72" s="8" t="n">
        <v>0</v>
      </c>
      <c r="V72" s="8" t="n">
        <v>3.7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10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</v>
      </c>
      <c r="AR72" s="8" t="n">
        <v>3</v>
      </c>
      <c r="AS72" s="8" t="n">
        <v>4</v>
      </c>
      <c r="AT72" s="8" t="n">
        <v>0</v>
      </c>
      <c r="AU72" s="8" t="n">
        <v>0</v>
      </c>
      <c r="AV72" s="8" t="n">
        <v>0</v>
      </c>
      <c r="AW72" s="8" t="n">
        <v>0</v>
      </c>
      <c r="AX72" s="8" t="n">
        <v>0</v>
      </c>
      <c r="AY72" s="8" t="n">
        <v>0</v>
      </c>
      <c r="AZ72" s="8" t="n">
        <v>3</v>
      </c>
      <c r="BA72" s="8" t="n">
        <v>3</v>
      </c>
      <c r="BB72" s="8" t="n">
        <v>0</v>
      </c>
      <c r="BC72" s="8" t="n">
        <v>0</v>
      </c>
      <c r="BD72" s="8" t="n">
        <v>0</v>
      </c>
      <c r="BE72" s="8" t="n">
        <v>0</v>
      </c>
      <c r="BF72" s="8" t="n">
        <v>0</v>
      </c>
      <c r="BG72" s="8" t="n">
        <v>0</v>
      </c>
      <c r="BH72" s="8" t="n">
        <v>0</v>
      </c>
      <c r="BI72" s="8" t="n">
        <v>0</v>
      </c>
      <c r="BJ72" s="8" t="n">
        <v>0</v>
      </c>
      <c r="BK72" s="8" t="n">
        <v>0</v>
      </c>
      <c r="BL72" s="8" t="n">
        <v>18</v>
      </c>
      <c r="BM72" s="8" t="n">
        <v>0</v>
      </c>
      <c r="BN72" s="8" t="n">
        <v>6</v>
      </c>
      <c r="BO72" s="8" t="n">
        <v>0</v>
      </c>
      <c r="BP72" s="8" t="n">
        <v>0</v>
      </c>
      <c r="BQ72" s="8" t="n">
        <v>0</v>
      </c>
      <c r="BR72" s="8" t="n">
        <v>0</v>
      </c>
      <c r="BS72" s="8" t="n">
        <v>0</v>
      </c>
      <c r="BT72" s="8" t="n">
        <v>0</v>
      </c>
      <c r="BU72" s="8" t="n">
        <v>0</v>
      </c>
      <c r="BV72" s="8" t="n">
        <v>0</v>
      </c>
      <c r="BW72" s="8" t="n">
        <v>1.5</v>
      </c>
      <c r="BX72" s="8" t="n">
        <v>0</v>
      </c>
      <c r="BY72" s="8" t="n">
        <v>0</v>
      </c>
      <c r="BZ72" s="8" t="n">
        <v>0</v>
      </c>
      <c r="CA72" s="8" t="n">
        <v>0</v>
      </c>
      <c r="CB72" s="8" t="n">
        <v>0</v>
      </c>
      <c r="CC72" s="8" t="n">
        <v>0</v>
      </c>
      <c r="CD72" s="8" t="n">
        <v>0</v>
      </c>
      <c r="CE72" s="8" t="n">
        <v>0</v>
      </c>
    </row>
    <row r="73">
      <c r="A73" s="15" t="inlineStr">
        <is>
          <t>2025-10-14</t>
        </is>
      </c>
      <c r="B73" s="11" t="n">
        <v>0</v>
      </c>
      <c r="C73" s="11" t="n">
        <v>0</v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2</v>
      </c>
      <c r="J73" s="11" t="n">
        <v>0</v>
      </c>
      <c r="K73" s="11" t="n">
        <v>0</v>
      </c>
      <c r="L73" s="11" t="n">
        <v>0</v>
      </c>
      <c r="M73" s="11" t="n">
        <v>8</v>
      </c>
      <c r="N73" s="11" t="n">
        <v>0</v>
      </c>
      <c r="O73" s="11" t="n">
        <v>0</v>
      </c>
      <c r="P73" s="11" t="n">
        <v>0</v>
      </c>
      <c r="Q73" s="11" t="n">
        <v>0</v>
      </c>
      <c r="R73" s="11" t="n">
        <v>10</v>
      </c>
      <c r="S73" s="11" t="n">
        <v>0</v>
      </c>
      <c r="T73" s="11" t="n">
        <v>0</v>
      </c>
      <c r="U73" s="11" t="n">
        <v>0</v>
      </c>
      <c r="V73" s="11" t="n">
        <v>3.7</v>
      </c>
      <c r="W73" s="11" t="n">
        <v>0</v>
      </c>
      <c r="X73" s="11" t="n">
        <v>0</v>
      </c>
      <c r="Y73" s="11" t="n">
        <v>0</v>
      </c>
      <c r="Z73" s="11" t="n">
        <v>0</v>
      </c>
      <c r="AA73" s="11" t="n">
        <v>0</v>
      </c>
      <c r="AB73" s="11" t="n">
        <v>0</v>
      </c>
      <c r="AC73" s="11" t="n">
        <v>0</v>
      </c>
      <c r="AD73" s="11" t="n">
        <v>0</v>
      </c>
      <c r="AE73" s="11" t="n">
        <v>0</v>
      </c>
      <c r="AF73" s="11" t="n">
        <v>10</v>
      </c>
      <c r="AG73" s="11" t="n">
        <v>0</v>
      </c>
      <c r="AH73" s="11" t="n">
        <v>0</v>
      </c>
      <c r="AI73" s="11" t="n">
        <v>0</v>
      </c>
      <c r="AJ73" s="11" t="n">
        <v>0</v>
      </c>
      <c r="AK73" s="11" t="n">
        <v>0</v>
      </c>
      <c r="AL73" s="11" t="n">
        <v>0</v>
      </c>
      <c r="AM73" s="11" t="n">
        <v>0</v>
      </c>
      <c r="AN73" s="11" t="n">
        <v>0</v>
      </c>
      <c r="AO73" s="11" t="n">
        <v>0</v>
      </c>
      <c r="AP73" s="11" t="n">
        <v>0</v>
      </c>
      <c r="AQ73" s="11" t="n">
        <v>0</v>
      </c>
      <c r="AR73" s="11" t="n">
        <v>3</v>
      </c>
      <c r="AS73" s="11" t="n">
        <v>4</v>
      </c>
      <c r="AT73" s="11" t="n">
        <v>0</v>
      </c>
      <c r="AU73" s="11" t="n">
        <v>0</v>
      </c>
      <c r="AV73" s="11" t="n">
        <v>0</v>
      </c>
      <c r="AW73" s="11" t="n">
        <v>0</v>
      </c>
      <c r="AX73" s="11" t="n">
        <v>0</v>
      </c>
      <c r="AY73" s="11" t="n">
        <v>0</v>
      </c>
      <c r="AZ73" s="11" t="n">
        <v>3</v>
      </c>
      <c r="BA73" s="11" t="n">
        <v>3</v>
      </c>
      <c r="BB73" s="11" t="n">
        <v>0</v>
      </c>
      <c r="BC73" s="11" t="n">
        <v>0</v>
      </c>
      <c r="BD73" s="11" t="n">
        <v>0</v>
      </c>
      <c r="BE73" s="11" t="n">
        <v>0</v>
      </c>
      <c r="BF73" s="11" t="n">
        <v>0</v>
      </c>
      <c r="BG73" s="11" t="n">
        <v>0</v>
      </c>
      <c r="BH73" s="11" t="n">
        <v>0</v>
      </c>
      <c r="BI73" s="11" t="n">
        <v>0</v>
      </c>
      <c r="BJ73" s="11" t="n">
        <v>0</v>
      </c>
      <c r="BK73" s="11" t="n">
        <v>0</v>
      </c>
      <c r="BL73" s="11" t="n">
        <v>18</v>
      </c>
      <c r="BM73" s="11" t="n">
        <v>0</v>
      </c>
      <c r="BN73" s="11" t="n">
        <v>6</v>
      </c>
      <c r="BO73" s="11" t="n">
        <v>0</v>
      </c>
      <c r="BP73" s="11" t="n">
        <v>0</v>
      </c>
      <c r="BQ73" s="11" t="n">
        <v>0</v>
      </c>
      <c r="BR73" s="11" t="n">
        <v>0</v>
      </c>
      <c r="BS73" s="11" t="n">
        <v>0</v>
      </c>
      <c r="BT73" s="11" t="n">
        <v>0</v>
      </c>
      <c r="BU73" s="11" t="n">
        <v>0</v>
      </c>
      <c r="BV73" s="11" t="n">
        <v>0</v>
      </c>
      <c r="BW73" s="11" t="n">
        <v>1.5</v>
      </c>
      <c r="BX73" s="11" t="n">
        <v>0</v>
      </c>
      <c r="BY73" s="11" t="n">
        <v>0</v>
      </c>
      <c r="BZ73" s="11" t="n">
        <v>0</v>
      </c>
      <c r="CA73" s="11" t="n">
        <v>0</v>
      </c>
      <c r="CB73" s="11" t="n">
        <v>0</v>
      </c>
      <c r="CC73" s="11" t="n">
        <v>0</v>
      </c>
      <c r="CD73" s="11" t="n">
        <v>0</v>
      </c>
      <c r="CE73" s="11" t="n">
        <v>0</v>
      </c>
    </row>
    <row r="74">
      <c r="A74" s="14" t="inlineStr">
        <is>
          <t>2025-10-15</t>
        </is>
      </c>
      <c r="B74" s="8" t="n">
        <v>0</v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2</v>
      </c>
      <c r="J74" s="8" t="n">
        <v>0</v>
      </c>
      <c r="K74" s="8" t="n">
        <v>0</v>
      </c>
      <c r="L74" s="8" t="n">
        <v>0</v>
      </c>
      <c r="M74" s="8" t="n">
        <v>8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10</v>
      </c>
      <c r="S74" s="8" t="n">
        <v>0</v>
      </c>
      <c r="T74" s="8" t="n">
        <v>0</v>
      </c>
      <c r="U74" s="8" t="n">
        <v>0</v>
      </c>
      <c r="V74" s="8" t="n">
        <v>3.7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10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</v>
      </c>
      <c r="AR74" s="8" t="n">
        <v>3</v>
      </c>
      <c r="AS74" s="8" t="n">
        <v>4</v>
      </c>
      <c r="AT74" s="8" t="n">
        <v>0</v>
      </c>
      <c r="AU74" s="8" t="n">
        <v>0</v>
      </c>
      <c r="AV74" s="8" t="n">
        <v>0</v>
      </c>
      <c r="AW74" s="8" t="n">
        <v>0</v>
      </c>
      <c r="AX74" s="8" t="n">
        <v>0</v>
      </c>
      <c r="AY74" s="8" t="n">
        <v>0</v>
      </c>
      <c r="AZ74" s="8" t="n">
        <v>3</v>
      </c>
      <c r="BA74" s="8" t="n">
        <v>3</v>
      </c>
      <c r="BB74" s="8" t="n">
        <v>0</v>
      </c>
      <c r="BC74" s="8" t="n">
        <v>0</v>
      </c>
      <c r="BD74" s="8" t="n">
        <v>0</v>
      </c>
      <c r="BE74" s="8" t="n">
        <v>0</v>
      </c>
      <c r="BF74" s="8" t="n">
        <v>0</v>
      </c>
      <c r="BG74" s="8" t="n">
        <v>0</v>
      </c>
      <c r="BH74" s="8" t="n">
        <v>0</v>
      </c>
      <c r="BI74" s="8" t="n">
        <v>0</v>
      </c>
      <c r="BJ74" s="8" t="n">
        <v>0</v>
      </c>
      <c r="BK74" s="8" t="n">
        <v>0</v>
      </c>
      <c r="BL74" s="8" t="n">
        <v>18</v>
      </c>
      <c r="BM74" s="8" t="n">
        <v>0</v>
      </c>
      <c r="BN74" s="8" t="n">
        <v>6</v>
      </c>
      <c r="BO74" s="8" t="n">
        <v>0</v>
      </c>
      <c r="BP74" s="8" t="n">
        <v>0</v>
      </c>
      <c r="BQ74" s="8" t="n">
        <v>0</v>
      </c>
      <c r="BR74" s="8" t="n">
        <v>0</v>
      </c>
      <c r="BS74" s="8" t="n">
        <v>0</v>
      </c>
      <c r="BT74" s="8" t="n">
        <v>0</v>
      </c>
      <c r="BU74" s="8" t="n">
        <v>0</v>
      </c>
      <c r="BV74" s="8" t="n">
        <v>0</v>
      </c>
      <c r="BW74" s="8" t="n">
        <v>1.5</v>
      </c>
      <c r="BX74" s="8" t="n">
        <v>0</v>
      </c>
      <c r="BY74" s="8" t="n">
        <v>0</v>
      </c>
      <c r="BZ74" s="8" t="n">
        <v>0</v>
      </c>
      <c r="CA74" s="8" t="n">
        <v>0</v>
      </c>
      <c r="CB74" s="8" t="n">
        <v>0</v>
      </c>
      <c r="CC74" s="8" t="n">
        <v>0</v>
      </c>
      <c r="CD74" s="8" t="n">
        <v>0</v>
      </c>
      <c r="CE74" s="8" t="n">
        <v>0</v>
      </c>
    </row>
    <row r="75">
      <c r="A75" s="15" t="inlineStr">
        <is>
          <t>2025-10-16</t>
        </is>
      </c>
      <c r="B75" s="11" t="n">
        <v>0</v>
      </c>
      <c r="C75" s="11" t="n">
        <v>0</v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2</v>
      </c>
      <c r="J75" s="11" t="n">
        <v>0</v>
      </c>
      <c r="K75" s="11" t="n">
        <v>0</v>
      </c>
      <c r="L75" s="11" t="n">
        <v>0</v>
      </c>
      <c r="M75" s="11" t="n">
        <v>8</v>
      </c>
      <c r="N75" s="11" t="n">
        <v>0</v>
      </c>
      <c r="O75" s="11" t="n">
        <v>0</v>
      </c>
      <c r="P75" s="11" t="n">
        <v>0</v>
      </c>
      <c r="Q75" s="11" t="n">
        <v>0</v>
      </c>
      <c r="R75" s="11" t="n">
        <v>10</v>
      </c>
      <c r="S75" s="11" t="n">
        <v>0</v>
      </c>
      <c r="T75" s="11" t="n">
        <v>0</v>
      </c>
      <c r="U75" s="11" t="n">
        <v>0</v>
      </c>
      <c r="V75" s="11" t="n">
        <v>3.7</v>
      </c>
      <c r="W75" s="11" t="n">
        <v>0</v>
      </c>
      <c r="X75" s="11" t="n">
        <v>0</v>
      </c>
      <c r="Y75" s="11" t="n">
        <v>0</v>
      </c>
      <c r="Z75" s="11" t="n">
        <v>0</v>
      </c>
      <c r="AA75" s="11" t="n">
        <v>0</v>
      </c>
      <c r="AB75" s="11" t="n">
        <v>0</v>
      </c>
      <c r="AC75" s="11" t="n">
        <v>0</v>
      </c>
      <c r="AD75" s="11" t="n">
        <v>0</v>
      </c>
      <c r="AE75" s="11" t="n">
        <v>0</v>
      </c>
      <c r="AF75" s="11" t="n">
        <v>10</v>
      </c>
      <c r="AG75" s="11" t="n">
        <v>0</v>
      </c>
      <c r="AH75" s="11" t="n">
        <v>0</v>
      </c>
      <c r="AI75" s="11" t="n">
        <v>0</v>
      </c>
      <c r="AJ75" s="11" t="n">
        <v>0</v>
      </c>
      <c r="AK75" s="11" t="n">
        <v>0</v>
      </c>
      <c r="AL75" s="11" t="n">
        <v>0</v>
      </c>
      <c r="AM75" s="11" t="n">
        <v>0</v>
      </c>
      <c r="AN75" s="11" t="n">
        <v>0</v>
      </c>
      <c r="AO75" s="11" t="n">
        <v>0</v>
      </c>
      <c r="AP75" s="11" t="n">
        <v>0</v>
      </c>
      <c r="AQ75" s="11" t="n">
        <v>0</v>
      </c>
      <c r="AR75" s="11" t="n">
        <v>3</v>
      </c>
      <c r="AS75" s="11" t="n">
        <v>4</v>
      </c>
      <c r="AT75" s="11" t="n">
        <v>0</v>
      </c>
      <c r="AU75" s="11" t="n">
        <v>0</v>
      </c>
      <c r="AV75" s="11" t="n">
        <v>0</v>
      </c>
      <c r="AW75" s="11" t="n">
        <v>0</v>
      </c>
      <c r="AX75" s="11" t="n">
        <v>0</v>
      </c>
      <c r="AY75" s="11" t="n">
        <v>0</v>
      </c>
      <c r="AZ75" s="11" t="n">
        <v>3</v>
      </c>
      <c r="BA75" s="11" t="n">
        <v>3</v>
      </c>
      <c r="BB75" s="11" t="n">
        <v>0</v>
      </c>
      <c r="BC75" s="11" t="n">
        <v>0</v>
      </c>
      <c r="BD75" s="11" t="n">
        <v>0</v>
      </c>
      <c r="BE75" s="11" t="n">
        <v>0</v>
      </c>
      <c r="BF75" s="11" t="n">
        <v>0</v>
      </c>
      <c r="BG75" s="11" t="n">
        <v>0</v>
      </c>
      <c r="BH75" s="11" t="n">
        <v>0</v>
      </c>
      <c r="BI75" s="11" t="n">
        <v>0</v>
      </c>
      <c r="BJ75" s="11" t="n">
        <v>0</v>
      </c>
      <c r="BK75" s="11" t="n">
        <v>0</v>
      </c>
      <c r="BL75" s="11" t="n">
        <v>18</v>
      </c>
      <c r="BM75" s="11" t="n">
        <v>0</v>
      </c>
      <c r="BN75" s="11" t="n">
        <v>6</v>
      </c>
      <c r="BO75" s="11" t="n">
        <v>0</v>
      </c>
      <c r="BP75" s="11" t="n">
        <v>0</v>
      </c>
      <c r="BQ75" s="11" t="n">
        <v>0</v>
      </c>
      <c r="BR75" s="11" t="n">
        <v>0</v>
      </c>
      <c r="BS75" s="11" t="n">
        <v>0</v>
      </c>
      <c r="BT75" s="11" t="n">
        <v>0</v>
      </c>
      <c r="BU75" s="11" t="n">
        <v>0</v>
      </c>
      <c r="BV75" s="11" t="n">
        <v>0</v>
      </c>
      <c r="BW75" s="11" t="n">
        <v>1.5</v>
      </c>
      <c r="BX75" s="11" t="n">
        <v>0</v>
      </c>
      <c r="BY75" s="11" t="n">
        <v>0</v>
      </c>
      <c r="BZ75" s="11" t="n">
        <v>0</v>
      </c>
      <c r="CA75" s="11" t="n">
        <v>0</v>
      </c>
      <c r="CB75" s="11" t="n">
        <v>0</v>
      </c>
      <c r="CC75" s="11" t="n">
        <v>0</v>
      </c>
      <c r="CD75" s="11" t="n">
        <v>0</v>
      </c>
      <c r="CE75" s="11" t="n">
        <v>0</v>
      </c>
    </row>
    <row r="76">
      <c r="A76" s="14" t="inlineStr">
        <is>
          <t>2025-10-17</t>
        </is>
      </c>
      <c r="B76" s="8" t="n">
        <v>0</v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2</v>
      </c>
      <c r="J76" s="8" t="n">
        <v>0</v>
      </c>
      <c r="K76" s="8" t="n">
        <v>0</v>
      </c>
      <c r="L76" s="8" t="n">
        <v>0</v>
      </c>
      <c r="M76" s="8" t="n">
        <v>8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10</v>
      </c>
      <c r="S76" s="8" t="n">
        <v>0</v>
      </c>
      <c r="T76" s="8" t="n">
        <v>0</v>
      </c>
      <c r="U76" s="8" t="n">
        <v>0</v>
      </c>
      <c r="V76" s="8" t="n">
        <v>3.7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10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</v>
      </c>
      <c r="AR76" s="8" t="n">
        <v>3</v>
      </c>
      <c r="AS76" s="8" t="n">
        <v>4</v>
      </c>
      <c r="AT76" s="8" t="n">
        <v>0</v>
      </c>
      <c r="AU76" s="8" t="n">
        <v>0</v>
      </c>
      <c r="AV76" s="8" t="n">
        <v>0</v>
      </c>
      <c r="AW76" s="8" t="n">
        <v>0</v>
      </c>
      <c r="AX76" s="8" t="n">
        <v>0</v>
      </c>
      <c r="AY76" s="8" t="n">
        <v>0</v>
      </c>
      <c r="AZ76" s="8" t="n">
        <v>3</v>
      </c>
      <c r="BA76" s="8" t="n">
        <v>3</v>
      </c>
      <c r="BB76" s="8" t="n">
        <v>0</v>
      </c>
      <c r="BC76" s="8" t="n">
        <v>0</v>
      </c>
      <c r="BD76" s="8" t="n">
        <v>0</v>
      </c>
      <c r="BE76" s="8" t="n">
        <v>0</v>
      </c>
      <c r="BF76" s="8" t="n">
        <v>0</v>
      </c>
      <c r="BG76" s="8" t="n">
        <v>0</v>
      </c>
      <c r="BH76" s="8" t="n">
        <v>0</v>
      </c>
      <c r="BI76" s="8" t="n">
        <v>0</v>
      </c>
      <c r="BJ76" s="8" t="n">
        <v>0</v>
      </c>
      <c r="BK76" s="8" t="n">
        <v>0</v>
      </c>
      <c r="BL76" s="8" t="n">
        <v>18</v>
      </c>
      <c r="BM76" s="8" t="n">
        <v>0</v>
      </c>
      <c r="BN76" s="8" t="n">
        <v>6</v>
      </c>
      <c r="BO76" s="8" t="n">
        <v>0</v>
      </c>
      <c r="BP76" s="8" t="n">
        <v>0</v>
      </c>
      <c r="BQ76" s="8" t="n">
        <v>0</v>
      </c>
      <c r="BR76" s="8" t="n">
        <v>0</v>
      </c>
      <c r="BS76" s="8" t="n">
        <v>0</v>
      </c>
      <c r="BT76" s="8" t="n">
        <v>0</v>
      </c>
      <c r="BU76" s="8" t="n">
        <v>0</v>
      </c>
      <c r="BV76" s="8" t="n">
        <v>0</v>
      </c>
      <c r="BW76" s="8" t="n">
        <v>1.5</v>
      </c>
      <c r="BX76" s="8" t="n">
        <v>0</v>
      </c>
      <c r="BY76" s="8" t="n">
        <v>0</v>
      </c>
      <c r="BZ76" s="8" t="n">
        <v>0</v>
      </c>
      <c r="CA76" s="8" t="n">
        <v>0</v>
      </c>
      <c r="CB76" s="8" t="n">
        <v>0</v>
      </c>
      <c r="CC76" s="8" t="n">
        <v>0</v>
      </c>
      <c r="CD76" s="8" t="n">
        <v>0</v>
      </c>
      <c r="CE76" s="8" t="n">
        <v>0</v>
      </c>
    </row>
    <row r="77">
      <c r="A77" s="15" t="inlineStr">
        <is>
          <t>2025-10-20</t>
        </is>
      </c>
      <c r="B77" s="11" t="n">
        <v>0</v>
      </c>
      <c r="C77" s="11" t="n">
        <v>0</v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2</v>
      </c>
      <c r="J77" s="11" t="n">
        <v>0</v>
      </c>
      <c r="K77" s="11" t="n">
        <v>0</v>
      </c>
      <c r="L77" s="11" t="n">
        <v>0</v>
      </c>
      <c r="M77" s="11" t="n">
        <v>8</v>
      </c>
      <c r="N77" s="11" t="n">
        <v>0</v>
      </c>
      <c r="O77" s="11" t="n">
        <v>0</v>
      </c>
      <c r="P77" s="11" t="n">
        <v>0</v>
      </c>
      <c r="Q77" s="11" t="n">
        <v>0</v>
      </c>
      <c r="R77" s="11" t="n">
        <v>10</v>
      </c>
      <c r="S77" s="11" t="n">
        <v>0</v>
      </c>
      <c r="T77" s="11" t="n">
        <v>0</v>
      </c>
      <c r="U77" s="11" t="n">
        <v>0</v>
      </c>
      <c r="V77" s="11" t="n">
        <v>3.7</v>
      </c>
      <c r="W77" s="11" t="n">
        <v>0</v>
      </c>
      <c r="X77" s="11" t="n">
        <v>0</v>
      </c>
      <c r="Y77" s="11" t="n">
        <v>0</v>
      </c>
      <c r="Z77" s="11" t="n">
        <v>0</v>
      </c>
      <c r="AA77" s="11" t="n">
        <v>0</v>
      </c>
      <c r="AB77" s="11" t="n">
        <v>0</v>
      </c>
      <c r="AC77" s="11" t="n">
        <v>0</v>
      </c>
      <c r="AD77" s="11" t="n">
        <v>0</v>
      </c>
      <c r="AE77" s="11" t="n">
        <v>0</v>
      </c>
      <c r="AF77" s="11" t="n">
        <v>10</v>
      </c>
      <c r="AG77" s="11" t="n">
        <v>0</v>
      </c>
      <c r="AH77" s="11" t="n">
        <v>0</v>
      </c>
      <c r="AI77" s="11" t="n">
        <v>0</v>
      </c>
      <c r="AJ77" s="11" t="n">
        <v>0</v>
      </c>
      <c r="AK77" s="11" t="n">
        <v>0</v>
      </c>
      <c r="AL77" s="11" t="n">
        <v>0</v>
      </c>
      <c r="AM77" s="11" t="n">
        <v>0</v>
      </c>
      <c r="AN77" s="11" t="n">
        <v>0</v>
      </c>
      <c r="AO77" s="11" t="n">
        <v>0</v>
      </c>
      <c r="AP77" s="11" t="n">
        <v>0</v>
      </c>
      <c r="AQ77" s="11" t="n">
        <v>0</v>
      </c>
      <c r="AR77" s="11" t="n">
        <v>3</v>
      </c>
      <c r="AS77" s="11" t="n">
        <v>4</v>
      </c>
      <c r="AT77" s="11" t="n">
        <v>0</v>
      </c>
      <c r="AU77" s="11" t="n">
        <v>0</v>
      </c>
      <c r="AV77" s="11" t="n">
        <v>0</v>
      </c>
      <c r="AW77" s="11" t="n">
        <v>0</v>
      </c>
      <c r="AX77" s="11" t="n">
        <v>0</v>
      </c>
      <c r="AY77" s="11" t="n">
        <v>0</v>
      </c>
      <c r="AZ77" s="11" t="n">
        <v>3</v>
      </c>
      <c r="BA77" s="11" t="n">
        <v>3</v>
      </c>
      <c r="BB77" s="11" t="n">
        <v>0</v>
      </c>
      <c r="BC77" s="11" t="n">
        <v>0</v>
      </c>
      <c r="BD77" s="11" t="n">
        <v>0</v>
      </c>
      <c r="BE77" s="11" t="n">
        <v>0</v>
      </c>
      <c r="BF77" s="11" t="n">
        <v>0</v>
      </c>
      <c r="BG77" s="11" t="n">
        <v>0</v>
      </c>
      <c r="BH77" s="11" t="n">
        <v>0</v>
      </c>
      <c r="BI77" s="11" t="n">
        <v>0</v>
      </c>
      <c r="BJ77" s="11" t="n">
        <v>0</v>
      </c>
      <c r="BK77" s="11" t="n">
        <v>0</v>
      </c>
      <c r="BL77" s="11" t="n">
        <v>18</v>
      </c>
      <c r="BM77" s="11" t="n">
        <v>0</v>
      </c>
      <c r="BN77" s="11" t="n">
        <v>6</v>
      </c>
      <c r="BO77" s="11" t="n">
        <v>0</v>
      </c>
      <c r="BP77" s="11" t="n">
        <v>0</v>
      </c>
      <c r="BQ77" s="11" t="n">
        <v>0</v>
      </c>
      <c r="BR77" s="11" t="n">
        <v>0</v>
      </c>
      <c r="BS77" s="11" t="n">
        <v>0</v>
      </c>
      <c r="BT77" s="11" t="n">
        <v>0</v>
      </c>
      <c r="BU77" s="11" t="n">
        <v>0</v>
      </c>
      <c r="BV77" s="11" t="n">
        <v>0</v>
      </c>
      <c r="BW77" s="11" t="n">
        <v>1.5</v>
      </c>
      <c r="BX77" s="11" t="n">
        <v>0</v>
      </c>
      <c r="BY77" s="11" t="n">
        <v>0</v>
      </c>
      <c r="BZ77" s="11" t="n">
        <v>0</v>
      </c>
      <c r="CA77" s="11" t="n">
        <v>0</v>
      </c>
      <c r="CB77" s="11" t="n">
        <v>0</v>
      </c>
      <c r="CC77" s="11" t="n">
        <v>0</v>
      </c>
      <c r="CD77" s="11" t="n">
        <v>0</v>
      </c>
      <c r="CE77" s="11" t="n">
        <v>0</v>
      </c>
    </row>
    <row r="78">
      <c r="A78" s="14" t="inlineStr">
        <is>
          <t>2025-10-21</t>
        </is>
      </c>
      <c r="B78" s="8" t="n">
        <v>0</v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2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10</v>
      </c>
      <c r="S78" s="8" t="n">
        <v>0</v>
      </c>
      <c r="T78" s="8" t="n">
        <v>0</v>
      </c>
      <c r="U78" s="8" t="n">
        <v>0</v>
      </c>
      <c r="V78" s="8" t="n">
        <v>3.7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12</v>
      </c>
      <c r="AG78" s="8" t="n">
        <v>1.5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</v>
      </c>
      <c r="AR78" s="8" t="n">
        <v>3</v>
      </c>
      <c r="AS78" s="8" t="n">
        <v>4</v>
      </c>
      <c r="AT78" s="8" t="n">
        <v>0</v>
      </c>
      <c r="AU78" s="8" t="n">
        <v>0</v>
      </c>
      <c r="AV78" s="8" t="n">
        <v>0</v>
      </c>
      <c r="AW78" s="8" t="n">
        <v>0</v>
      </c>
      <c r="AX78" s="8" t="n">
        <v>0</v>
      </c>
      <c r="AY78" s="8" t="n">
        <v>0</v>
      </c>
      <c r="AZ78" s="8" t="n">
        <v>3</v>
      </c>
      <c r="BA78" s="8" t="n">
        <v>3</v>
      </c>
      <c r="BB78" s="8" t="n">
        <v>0</v>
      </c>
      <c r="BC78" s="8" t="n">
        <v>0</v>
      </c>
      <c r="BD78" s="8" t="n">
        <v>0</v>
      </c>
      <c r="BE78" s="8" t="n">
        <v>0</v>
      </c>
      <c r="BF78" s="8" t="n">
        <v>0</v>
      </c>
      <c r="BG78" s="8" t="n">
        <v>0</v>
      </c>
      <c r="BH78" s="8" t="n">
        <v>0</v>
      </c>
      <c r="BI78" s="8" t="n">
        <v>0</v>
      </c>
      <c r="BJ78" s="8" t="n">
        <v>0</v>
      </c>
      <c r="BK78" s="8" t="n">
        <v>0</v>
      </c>
      <c r="BL78" s="8" t="n">
        <v>18</v>
      </c>
      <c r="BM78" s="8" t="n">
        <v>0</v>
      </c>
      <c r="BN78" s="8" t="n">
        <v>6</v>
      </c>
      <c r="BO78" s="8" t="n">
        <v>0</v>
      </c>
      <c r="BP78" s="8" t="n">
        <v>0</v>
      </c>
      <c r="BQ78" s="8" t="n">
        <v>0</v>
      </c>
      <c r="BR78" s="8" t="n">
        <v>0</v>
      </c>
      <c r="BS78" s="8" t="n">
        <v>0</v>
      </c>
      <c r="BT78" s="8" t="n">
        <v>0</v>
      </c>
      <c r="BU78" s="8" t="n">
        <v>0</v>
      </c>
      <c r="BV78" s="8" t="n">
        <v>0</v>
      </c>
      <c r="BW78" s="8" t="n">
        <v>1.5</v>
      </c>
      <c r="BX78" s="8" t="n">
        <v>0</v>
      </c>
      <c r="BY78" s="8" t="n">
        <v>0</v>
      </c>
      <c r="BZ78" s="8" t="n">
        <v>0</v>
      </c>
      <c r="CA78" s="8" t="n">
        <v>0</v>
      </c>
      <c r="CB78" s="8" t="n">
        <v>0</v>
      </c>
      <c r="CC78" s="8" t="n">
        <v>0</v>
      </c>
      <c r="CD78" s="8" t="n">
        <v>0</v>
      </c>
      <c r="CE78" s="8" t="n">
        <v>0</v>
      </c>
    </row>
    <row r="79">
      <c r="A79" s="15" t="inlineStr">
        <is>
          <t>2025-10-22</t>
        </is>
      </c>
      <c r="B79" s="11" t="n">
        <v>0</v>
      </c>
      <c r="C79" s="11" t="n">
        <v>0</v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2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  <c r="P79" s="11" t="n">
        <v>0</v>
      </c>
      <c r="Q79" s="11" t="n">
        <v>0</v>
      </c>
      <c r="R79" s="11" t="n">
        <v>10</v>
      </c>
      <c r="S79" s="11" t="n">
        <v>0</v>
      </c>
      <c r="T79" s="11" t="n">
        <v>0</v>
      </c>
      <c r="U79" s="11" t="n">
        <v>0</v>
      </c>
      <c r="V79" s="11" t="n">
        <v>3.7</v>
      </c>
      <c r="W79" s="11" t="n">
        <v>0</v>
      </c>
      <c r="X79" s="11" t="n">
        <v>0</v>
      </c>
      <c r="Y79" s="11" t="n">
        <v>0</v>
      </c>
      <c r="Z79" s="11" t="n">
        <v>0</v>
      </c>
      <c r="AA79" s="11" t="n">
        <v>0</v>
      </c>
      <c r="AB79" s="11" t="n">
        <v>0</v>
      </c>
      <c r="AC79" s="11" t="n">
        <v>0</v>
      </c>
      <c r="AD79" s="11" t="n">
        <v>0</v>
      </c>
      <c r="AE79" s="11" t="n">
        <v>0</v>
      </c>
      <c r="AF79" s="11" t="n">
        <v>12</v>
      </c>
      <c r="AG79" s="11" t="n">
        <v>1.5</v>
      </c>
      <c r="AH79" s="11" t="n">
        <v>0</v>
      </c>
      <c r="AI79" s="11" t="n">
        <v>0</v>
      </c>
      <c r="AJ79" s="11" t="n">
        <v>0</v>
      </c>
      <c r="AK79" s="11" t="n">
        <v>0</v>
      </c>
      <c r="AL79" s="11" t="n">
        <v>0</v>
      </c>
      <c r="AM79" s="11" t="n">
        <v>0</v>
      </c>
      <c r="AN79" s="11" t="n">
        <v>0</v>
      </c>
      <c r="AO79" s="11" t="n">
        <v>0</v>
      </c>
      <c r="AP79" s="11" t="n">
        <v>0</v>
      </c>
      <c r="AQ79" s="11" t="n">
        <v>0</v>
      </c>
      <c r="AR79" s="11" t="n">
        <v>3</v>
      </c>
      <c r="AS79" s="11" t="n">
        <v>4</v>
      </c>
      <c r="AT79" s="11" t="n">
        <v>0</v>
      </c>
      <c r="AU79" s="11" t="n">
        <v>0</v>
      </c>
      <c r="AV79" s="11" t="n">
        <v>0</v>
      </c>
      <c r="AW79" s="11" t="n">
        <v>0</v>
      </c>
      <c r="AX79" s="11" t="n">
        <v>0</v>
      </c>
      <c r="AY79" s="11" t="n">
        <v>0</v>
      </c>
      <c r="AZ79" s="11" t="n">
        <v>3</v>
      </c>
      <c r="BA79" s="11" t="n">
        <v>3</v>
      </c>
      <c r="BB79" s="11" t="n">
        <v>0</v>
      </c>
      <c r="BC79" s="11" t="n">
        <v>0</v>
      </c>
      <c r="BD79" s="11" t="n">
        <v>0</v>
      </c>
      <c r="BE79" s="11" t="n">
        <v>0</v>
      </c>
      <c r="BF79" s="11" t="n">
        <v>0</v>
      </c>
      <c r="BG79" s="11" t="n">
        <v>0</v>
      </c>
      <c r="BH79" s="11" t="n">
        <v>0</v>
      </c>
      <c r="BI79" s="11" t="n">
        <v>0</v>
      </c>
      <c r="BJ79" s="11" t="n">
        <v>0</v>
      </c>
      <c r="BK79" s="11" t="n">
        <v>0</v>
      </c>
      <c r="BL79" s="11" t="n">
        <v>18</v>
      </c>
      <c r="BM79" s="11" t="n">
        <v>0</v>
      </c>
      <c r="BN79" s="11" t="n">
        <v>6</v>
      </c>
      <c r="BO79" s="11" t="n">
        <v>0</v>
      </c>
      <c r="BP79" s="11" t="n">
        <v>0</v>
      </c>
      <c r="BQ79" s="11" t="n">
        <v>0</v>
      </c>
      <c r="BR79" s="11" t="n">
        <v>0</v>
      </c>
      <c r="BS79" s="11" t="n">
        <v>0</v>
      </c>
      <c r="BT79" s="11" t="n">
        <v>0</v>
      </c>
      <c r="BU79" s="11" t="n">
        <v>0</v>
      </c>
      <c r="BV79" s="11" t="n">
        <v>0</v>
      </c>
      <c r="BW79" s="11" t="n">
        <v>1.5</v>
      </c>
      <c r="BX79" s="11" t="n">
        <v>0</v>
      </c>
      <c r="BY79" s="11" t="n">
        <v>0</v>
      </c>
      <c r="BZ79" s="11" t="n">
        <v>0</v>
      </c>
      <c r="CA79" s="11" t="n">
        <v>0</v>
      </c>
      <c r="CB79" s="11" t="n">
        <v>0</v>
      </c>
      <c r="CC79" s="11" t="n">
        <v>0</v>
      </c>
      <c r="CD79" s="11" t="n">
        <v>0</v>
      </c>
      <c r="CE79" s="11" t="n">
        <v>0</v>
      </c>
    </row>
    <row r="80">
      <c r="A80" s="14" t="inlineStr">
        <is>
          <t>2025-10-23</t>
        </is>
      </c>
      <c r="B80" s="8" t="n">
        <v>0</v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2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10</v>
      </c>
      <c r="S80" s="8" t="n">
        <v>0</v>
      </c>
      <c r="T80" s="8" t="n">
        <v>0</v>
      </c>
      <c r="U80" s="8" t="n">
        <v>0</v>
      </c>
      <c r="V80" s="8" t="n">
        <v>3.7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12</v>
      </c>
      <c r="AG80" s="8" t="n">
        <v>1.5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  <c r="AR80" s="8" t="n">
        <v>3</v>
      </c>
      <c r="AS80" s="8" t="n">
        <v>4</v>
      </c>
      <c r="AT80" s="8" t="n">
        <v>0</v>
      </c>
      <c r="AU80" s="8" t="n">
        <v>0</v>
      </c>
      <c r="AV80" s="8" t="n">
        <v>0</v>
      </c>
      <c r="AW80" s="8" t="n">
        <v>0</v>
      </c>
      <c r="AX80" s="8" t="n">
        <v>0</v>
      </c>
      <c r="AY80" s="8" t="n">
        <v>0</v>
      </c>
      <c r="AZ80" s="8" t="n">
        <v>3</v>
      </c>
      <c r="BA80" s="8" t="n">
        <v>3</v>
      </c>
      <c r="BB80" s="8" t="n">
        <v>0</v>
      </c>
      <c r="BC80" s="8" t="n">
        <v>0</v>
      </c>
      <c r="BD80" s="8" t="n">
        <v>0</v>
      </c>
      <c r="BE80" s="8" t="n">
        <v>0</v>
      </c>
      <c r="BF80" s="8" t="n">
        <v>0</v>
      </c>
      <c r="BG80" s="8" t="n">
        <v>0</v>
      </c>
      <c r="BH80" s="8" t="n">
        <v>0</v>
      </c>
      <c r="BI80" s="8" t="n">
        <v>0</v>
      </c>
      <c r="BJ80" s="8" t="n">
        <v>0</v>
      </c>
      <c r="BK80" s="8" t="n">
        <v>0</v>
      </c>
      <c r="BL80" s="8" t="n">
        <v>18</v>
      </c>
      <c r="BM80" s="8" t="n">
        <v>0</v>
      </c>
      <c r="BN80" s="8" t="n">
        <v>6</v>
      </c>
      <c r="BO80" s="8" t="n">
        <v>0</v>
      </c>
      <c r="BP80" s="8" t="n">
        <v>0</v>
      </c>
      <c r="BQ80" s="8" t="n">
        <v>0</v>
      </c>
      <c r="BR80" s="8" t="n">
        <v>0</v>
      </c>
      <c r="BS80" s="8" t="n">
        <v>0</v>
      </c>
      <c r="BT80" s="8" t="n">
        <v>0</v>
      </c>
      <c r="BU80" s="8" t="n">
        <v>0</v>
      </c>
      <c r="BV80" s="8" t="n">
        <v>0</v>
      </c>
      <c r="BW80" s="8" t="n">
        <v>1.5</v>
      </c>
      <c r="BX80" s="8" t="n">
        <v>0</v>
      </c>
      <c r="BY80" s="8" t="n">
        <v>0</v>
      </c>
      <c r="BZ80" s="8" t="n">
        <v>0</v>
      </c>
      <c r="CA80" s="8" t="n">
        <v>0</v>
      </c>
      <c r="CB80" s="8" t="n">
        <v>0</v>
      </c>
      <c r="CC80" s="8" t="n">
        <v>0</v>
      </c>
      <c r="CD80" s="8" t="n">
        <v>0</v>
      </c>
      <c r="CE80" s="8" t="n">
        <v>0</v>
      </c>
    </row>
    <row r="81">
      <c r="A81" s="15" t="inlineStr">
        <is>
          <t>2025-10-24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2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  <c r="P81" s="11" t="n">
        <v>0</v>
      </c>
      <c r="Q81" s="11" t="n">
        <v>0</v>
      </c>
      <c r="R81" s="11" t="n">
        <v>10</v>
      </c>
      <c r="S81" s="11" t="n">
        <v>0</v>
      </c>
      <c r="T81" s="11" t="n">
        <v>0</v>
      </c>
      <c r="U81" s="11" t="n">
        <v>0</v>
      </c>
      <c r="V81" s="11" t="n">
        <v>4</v>
      </c>
      <c r="W81" s="11" t="n">
        <v>0</v>
      </c>
      <c r="X81" s="11" t="n">
        <v>0</v>
      </c>
      <c r="Y81" s="11" t="n">
        <v>0</v>
      </c>
      <c r="Z81" s="11" t="n">
        <v>0</v>
      </c>
      <c r="AA81" s="11" t="n">
        <v>0</v>
      </c>
      <c r="AB81" s="11" t="n">
        <v>0</v>
      </c>
      <c r="AC81" s="11" t="n">
        <v>0</v>
      </c>
      <c r="AD81" s="11" t="n">
        <v>0</v>
      </c>
      <c r="AE81" s="11" t="n">
        <v>0</v>
      </c>
      <c r="AF81" s="11" t="n">
        <v>12</v>
      </c>
      <c r="AG81" s="11" t="n">
        <v>1.5</v>
      </c>
      <c r="AH81" s="11" t="n">
        <v>0</v>
      </c>
      <c r="AI81" s="11" t="n">
        <v>0</v>
      </c>
      <c r="AJ81" s="11" t="n">
        <v>0</v>
      </c>
      <c r="AK81" s="11" t="n">
        <v>0</v>
      </c>
      <c r="AL81" s="11" t="n">
        <v>0</v>
      </c>
      <c r="AM81" s="11" t="n">
        <v>0</v>
      </c>
      <c r="AN81" s="11" t="n">
        <v>0</v>
      </c>
      <c r="AO81" s="11" t="n">
        <v>0</v>
      </c>
      <c r="AP81" s="11" t="n">
        <v>0</v>
      </c>
      <c r="AQ81" s="11" t="n">
        <v>0</v>
      </c>
      <c r="AR81" s="11" t="n">
        <v>3</v>
      </c>
      <c r="AS81" s="11" t="n">
        <v>4</v>
      </c>
      <c r="AT81" s="11" t="n">
        <v>0</v>
      </c>
      <c r="AU81" s="11" t="n">
        <v>0</v>
      </c>
      <c r="AV81" s="11" t="n">
        <v>0</v>
      </c>
      <c r="AW81" s="11" t="n">
        <v>0</v>
      </c>
      <c r="AX81" s="11" t="n">
        <v>0</v>
      </c>
      <c r="AY81" s="11" t="n">
        <v>0</v>
      </c>
      <c r="AZ81" s="11" t="n">
        <v>3</v>
      </c>
      <c r="BA81" s="11" t="n">
        <v>3</v>
      </c>
      <c r="BB81" s="11" t="n">
        <v>0</v>
      </c>
      <c r="BC81" s="11" t="n">
        <v>0</v>
      </c>
      <c r="BD81" s="11" t="n">
        <v>0</v>
      </c>
      <c r="BE81" s="11" t="n">
        <v>0</v>
      </c>
      <c r="BF81" s="11" t="n">
        <v>0</v>
      </c>
      <c r="BG81" s="11" t="n">
        <v>0</v>
      </c>
      <c r="BH81" s="11" t="n">
        <v>0</v>
      </c>
      <c r="BI81" s="11" t="n">
        <v>0</v>
      </c>
      <c r="BJ81" s="11" t="n">
        <v>0</v>
      </c>
      <c r="BK81" s="11" t="n">
        <v>0</v>
      </c>
      <c r="BL81" s="11" t="n">
        <v>18</v>
      </c>
      <c r="BM81" s="11" t="n">
        <v>0</v>
      </c>
      <c r="BN81" s="11" t="n">
        <v>6</v>
      </c>
      <c r="BO81" s="11" t="n">
        <v>0</v>
      </c>
      <c r="BP81" s="11" t="n">
        <v>0</v>
      </c>
      <c r="BQ81" s="11" t="n">
        <v>0</v>
      </c>
      <c r="BR81" s="11" t="n">
        <v>0</v>
      </c>
      <c r="BS81" s="11" t="n">
        <v>0</v>
      </c>
      <c r="BT81" s="11" t="n">
        <v>0</v>
      </c>
      <c r="BU81" s="11" t="n">
        <v>0</v>
      </c>
      <c r="BV81" s="11" t="n">
        <v>0</v>
      </c>
      <c r="BW81" s="11" t="n">
        <v>1.5</v>
      </c>
      <c r="BX81" s="11" t="n">
        <v>0</v>
      </c>
      <c r="BY81" s="11" t="n">
        <v>0</v>
      </c>
      <c r="BZ81" s="11" t="n">
        <v>0</v>
      </c>
      <c r="CA81" s="11" t="n">
        <v>0</v>
      </c>
      <c r="CB81" s="11" t="n">
        <v>0</v>
      </c>
      <c r="CC81" s="11" t="n">
        <v>0</v>
      </c>
      <c r="CD81" s="11" t="n">
        <v>0</v>
      </c>
      <c r="CE81" s="11" t="n">
        <v>0</v>
      </c>
    </row>
    <row r="82">
      <c r="A82" s="14" t="inlineStr">
        <is>
          <t>2025-10-27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2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10</v>
      </c>
      <c r="S82" s="8" t="n">
        <v>0</v>
      </c>
      <c r="T82" s="8" t="n">
        <v>0</v>
      </c>
      <c r="U82" s="8" t="n">
        <v>0</v>
      </c>
      <c r="V82" s="8" t="n">
        <v>4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12</v>
      </c>
      <c r="AG82" s="8" t="n">
        <v>1.5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  <c r="AR82" s="8" t="n">
        <v>3</v>
      </c>
      <c r="AS82" s="8" t="n">
        <v>4</v>
      </c>
      <c r="AT82" s="8" t="n">
        <v>0</v>
      </c>
      <c r="AU82" s="8" t="n">
        <v>0</v>
      </c>
      <c r="AV82" s="8" t="n">
        <v>0</v>
      </c>
      <c r="AW82" s="8" t="n">
        <v>0</v>
      </c>
      <c r="AX82" s="8" t="n">
        <v>0</v>
      </c>
      <c r="AY82" s="8" t="n">
        <v>0</v>
      </c>
      <c r="AZ82" s="8" t="n">
        <v>3</v>
      </c>
      <c r="BA82" s="8" t="n">
        <v>3</v>
      </c>
      <c r="BB82" s="8" t="n">
        <v>0</v>
      </c>
      <c r="BC82" s="8" t="n">
        <v>0</v>
      </c>
      <c r="BD82" s="8" t="n">
        <v>0</v>
      </c>
      <c r="BE82" s="8" t="n">
        <v>0</v>
      </c>
      <c r="BF82" s="8" t="n">
        <v>0</v>
      </c>
      <c r="BG82" s="8" t="n">
        <v>0</v>
      </c>
      <c r="BH82" s="8" t="n">
        <v>0</v>
      </c>
      <c r="BI82" s="8" t="n">
        <v>0</v>
      </c>
      <c r="BJ82" s="8" t="n">
        <v>0</v>
      </c>
      <c r="BK82" s="8" t="n">
        <v>0</v>
      </c>
      <c r="BL82" s="8" t="n">
        <v>18</v>
      </c>
      <c r="BM82" s="8" t="n">
        <v>0</v>
      </c>
      <c r="BN82" s="8" t="n">
        <v>6</v>
      </c>
      <c r="BO82" s="8" t="n">
        <v>0</v>
      </c>
      <c r="BP82" s="8" t="n">
        <v>0</v>
      </c>
      <c r="BQ82" s="8" t="n">
        <v>0</v>
      </c>
      <c r="BR82" s="8" t="n">
        <v>0</v>
      </c>
      <c r="BS82" s="8" t="n">
        <v>0</v>
      </c>
      <c r="BT82" s="8" t="n">
        <v>0</v>
      </c>
      <c r="BU82" s="8" t="n">
        <v>0</v>
      </c>
      <c r="BV82" s="8" t="n">
        <v>0</v>
      </c>
      <c r="BW82" s="8" t="n">
        <v>1.5</v>
      </c>
      <c r="BX82" s="8" t="n">
        <v>0</v>
      </c>
      <c r="BY82" s="8" t="n">
        <v>0</v>
      </c>
      <c r="BZ82" s="8" t="n">
        <v>0</v>
      </c>
      <c r="CA82" s="8" t="n">
        <v>0</v>
      </c>
      <c r="CB82" s="8" t="n">
        <v>0</v>
      </c>
      <c r="CC82" s="8" t="n">
        <v>0</v>
      </c>
      <c r="CD82" s="8" t="n">
        <v>0</v>
      </c>
      <c r="CE82" s="8" t="n">
        <v>0</v>
      </c>
    </row>
    <row r="83">
      <c r="A83" s="15" t="inlineStr">
        <is>
          <t>2025-10-28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2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10</v>
      </c>
      <c r="S83" s="11" t="n">
        <v>0</v>
      </c>
      <c r="T83" s="11" t="n">
        <v>0</v>
      </c>
      <c r="U83" s="11" t="n">
        <v>0</v>
      </c>
      <c r="V83" s="11" t="n">
        <v>4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1" t="n">
        <v>0</v>
      </c>
      <c r="AE83" s="11" t="n">
        <v>0</v>
      </c>
      <c r="AF83" s="11" t="n">
        <v>12</v>
      </c>
      <c r="AG83" s="11" t="n">
        <v>1.5</v>
      </c>
      <c r="AH83" s="11" t="n">
        <v>0</v>
      </c>
      <c r="AI83" s="11" t="n">
        <v>0</v>
      </c>
      <c r="AJ83" s="11" t="n">
        <v>0</v>
      </c>
      <c r="AK83" s="11" t="n">
        <v>0</v>
      </c>
      <c r="AL83" s="11" t="n">
        <v>0</v>
      </c>
      <c r="AM83" s="11" t="n">
        <v>0</v>
      </c>
      <c r="AN83" s="11" t="n">
        <v>0</v>
      </c>
      <c r="AO83" s="11" t="n">
        <v>0</v>
      </c>
      <c r="AP83" s="11" t="n">
        <v>0</v>
      </c>
      <c r="AQ83" s="11" t="n">
        <v>0</v>
      </c>
      <c r="AR83" s="11" t="n">
        <v>3</v>
      </c>
      <c r="AS83" s="11" t="n">
        <v>4</v>
      </c>
      <c r="AT83" s="11" t="n">
        <v>0</v>
      </c>
      <c r="AU83" s="11" t="n">
        <v>0</v>
      </c>
      <c r="AV83" s="11" t="n">
        <v>0</v>
      </c>
      <c r="AW83" s="11" t="n">
        <v>0</v>
      </c>
      <c r="AX83" s="11" t="n">
        <v>0</v>
      </c>
      <c r="AY83" s="11" t="n">
        <v>0</v>
      </c>
      <c r="AZ83" s="11" t="n">
        <v>3</v>
      </c>
      <c r="BA83" s="11" t="n">
        <v>3</v>
      </c>
      <c r="BB83" s="11" t="n">
        <v>0</v>
      </c>
      <c r="BC83" s="11" t="n">
        <v>0</v>
      </c>
      <c r="BD83" s="11" t="n">
        <v>0</v>
      </c>
      <c r="BE83" s="11" t="n">
        <v>0</v>
      </c>
      <c r="BF83" s="11" t="n">
        <v>0</v>
      </c>
      <c r="BG83" s="11" t="n">
        <v>0</v>
      </c>
      <c r="BH83" s="11" t="n">
        <v>0</v>
      </c>
      <c r="BI83" s="11" t="n">
        <v>0</v>
      </c>
      <c r="BJ83" s="11" t="n">
        <v>0</v>
      </c>
      <c r="BK83" s="11" t="n">
        <v>0</v>
      </c>
      <c r="BL83" s="11" t="n">
        <v>18</v>
      </c>
      <c r="BM83" s="11" t="n">
        <v>0</v>
      </c>
      <c r="BN83" s="11" t="n">
        <v>6</v>
      </c>
      <c r="BO83" s="11" t="n">
        <v>0</v>
      </c>
      <c r="BP83" s="11" t="n">
        <v>0</v>
      </c>
      <c r="BQ83" s="11" t="n">
        <v>0</v>
      </c>
      <c r="BR83" s="11" t="n">
        <v>0</v>
      </c>
      <c r="BS83" s="11" t="n">
        <v>0</v>
      </c>
      <c r="BT83" s="11" t="n">
        <v>0</v>
      </c>
      <c r="BU83" s="11" t="n">
        <v>0</v>
      </c>
      <c r="BV83" s="11" t="n">
        <v>0</v>
      </c>
      <c r="BW83" s="11" t="n">
        <v>1.5</v>
      </c>
      <c r="BX83" s="11" t="n">
        <v>0</v>
      </c>
      <c r="BY83" s="11" t="n">
        <v>0</v>
      </c>
      <c r="BZ83" s="11" t="n">
        <v>0</v>
      </c>
      <c r="CA83" s="11" t="n">
        <v>0</v>
      </c>
      <c r="CB83" s="11" t="n">
        <v>0</v>
      </c>
      <c r="CC83" s="11" t="n">
        <v>0</v>
      </c>
      <c r="CD83" s="11" t="n">
        <v>0</v>
      </c>
      <c r="CE83" s="11" t="n">
        <v>0</v>
      </c>
    </row>
    <row r="84">
      <c r="A84" s="14" t="inlineStr">
        <is>
          <t>2025-10-29</t>
        </is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2</v>
      </c>
      <c r="J84" s="8" t="n">
        <v>0</v>
      </c>
      <c r="K84" s="8" t="n">
        <v>0</v>
      </c>
      <c r="L84" s="8" t="n">
        <v>0</v>
      </c>
      <c r="M84" s="8" t="n">
        <v>0</v>
      </c>
      <c r="N84" s="8" t="n">
        <v>0</v>
      </c>
      <c r="O84" s="8" t="n">
        <v>0</v>
      </c>
      <c r="P84" s="8" t="n">
        <v>0</v>
      </c>
      <c r="Q84" s="8" t="n">
        <v>0</v>
      </c>
      <c r="R84" s="8" t="n">
        <v>10</v>
      </c>
      <c r="S84" s="8" t="n">
        <v>0</v>
      </c>
      <c r="T84" s="8" t="n">
        <v>0</v>
      </c>
      <c r="U84" s="8" t="n">
        <v>0</v>
      </c>
      <c r="V84" s="8" t="n">
        <v>4</v>
      </c>
      <c r="W84" s="8" t="n">
        <v>0</v>
      </c>
      <c r="X84" s="8" t="n">
        <v>0</v>
      </c>
      <c r="Y84" s="8" t="n">
        <v>0</v>
      </c>
      <c r="Z84" s="8" t="n">
        <v>0</v>
      </c>
      <c r="AA84" s="8" t="n">
        <v>0</v>
      </c>
      <c r="AB84" s="8" t="n">
        <v>0</v>
      </c>
      <c r="AC84" s="8" t="n">
        <v>0</v>
      </c>
      <c r="AD84" s="8" t="n">
        <v>0</v>
      </c>
      <c r="AE84" s="8" t="n">
        <v>0</v>
      </c>
      <c r="AF84" s="8" t="n">
        <v>12</v>
      </c>
      <c r="AG84" s="8" t="n">
        <v>1.5</v>
      </c>
      <c r="AH84" s="8" t="n">
        <v>0</v>
      </c>
      <c r="AI84" s="8" t="n">
        <v>0</v>
      </c>
      <c r="AJ84" s="8" t="n">
        <v>0</v>
      </c>
      <c r="AK84" s="8" t="n">
        <v>0</v>
      </c>
      <c r="AL84" s="8" t="n">
        <v>0</v>
      </c>
      <c r="AM84" s="8" t="n">
        <v>0</v>
      </c>
      <c r="AN84" s="8" t="n">
        <v>0</v>
      </c>
      <c r="AO84" s="8" t="n">
        <v>0</v>
      </c>
      <c r="AP84" s="8" t="n">
        <v>0</v>
      </c>
      <c r="AQ84" s="8" t="n">
        <v>0</v>
      </c>
      <c r="AR84" s="8" t="n">
        <v>0</v>
      </c>
      <c r="AS84" s="8" t="n">
        <v>4</v>
      </c>
      <c r="AT84" s="8" t="n">
        <v>0</v>
      </c>
      <c r="AU84" s="8" t="n">
        <v>0</v>
      </c>
      <c r="AV84" s="8" t="n">
        <v>0</v>
      </c>
      <c r="AW84" s="8" t="n">
        <v>0</v>
      </c>
      <c r="AX84" s="8" t="n">
        <v>0</v>
      </c>
      <c r="AY84" s="8" t="n">
        <v>0</v>
      </c>
      <c r="AZ84" s="8" t="n">
        <v>3</v>
      </c>
      <c r="BA84" s="8" t="n">
        <v>3</v>
      </c>
      <c r="BB84" s="8" t="n">
        <v>0</v>
      </c>
      <c r="BC84" s="8" t="n">
        <v>0</v>
      </c>
      <c r="BD84" s="8" t="n">
        <v>0</v>
      </c>
      <c r="BE84" s="8" t="n">
        <v>0</v>
      </c>
      <c r="BF84" s="8" t="n">
        <v>0</v>
      </c>
      <c r="BG84" s="8" t="n">
        <v>0</v>
      </c>
      <c r="BH84" s="8" t="n">
        <v>0</v>
      </c>
      <c r="BI84" s="8" t="n">
        <v>0</v>
      </c>
      <c r="BJ84" s="8" t="n">
        <v>0</v>
      </c>
      <c r="BK84" s="8" t="n">
        <v>0</v>
      </c>
      <c r="BL84" s="8" t="n">
        <v>18</v>
      </c>
      <c r="BM84" s="8" t="n">
        <v>0</v>
      </c>
      <c r="BN84" s="8" t="n">
        <v>6</v>
      </c>
      <c r="BO84" s="8" t="n">
        <v>0</v>
      </c>
      <c r="BP84" s="8" t="n">
        <v>0</v>
      </c>
      <c r="BQ84" s="8" t="n">
        <v>0</v>
      </c>
      <c r="BR84" s="8" t="n">
        <v>0</v>
      </c>
      <c r="BS84" s="8" t="n">
        <v>0</v>
      </c>
      <c r="BT84" s="8" t="n">
        <v>0</v>
      </c>
      <c r="BU84" s="8" t="n">
        <v>0</v>
      </c>
      <c r="BV84" s="8" t="n">
        <v>0</v>
      </c>
      <c r="BW84" s="8" t="n">
        <v>4.5</v>
      </c>
      <c r="BX84" s="8" t="n">
        <v>0</v>
      </c>
      <c r="BY84" s="8" t="n">
        <v>0</v>
      </c>
      <c r="BZ84" s="8" t="n">
        <v>0</v>
      </c>
      <c r="CA84" s="8" t="n">
        <v>0</v>
      </c>
      <c r="CB84" s="8" t="n">
        <v>0</v>
      </c>
      <c r="CC84" s="8" t="n">
        <v>0</v>
      </c>
      <c r="CD84" s="8" t="n">
        <v>0</v>
      </c>
      <c r="CE84" s="8" t="n">
        <v>0</v>
      </c>
    </row>
    <row r="85">
      <c r="A85" s="15" t="inlineStr">
        <is>
          <t>2025-10-30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2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  <c r="P85" s="11" t="n">
        <v>0</v>
      </c>
      <c r="Q85" s="11" t="n">
        <v>0</v>
      </c>
      <c r="R85" s="11" t="n">
        <v>10</v>
      </c>
      <c r="S85" s="11" t="n">
        <v>0</v>
      </c>
      <c r="T85" s="11" t="n">
        <v>0</v>
      </c>
      <c r="U85" s="11" t="n">
        <v>0</v>
      </c>
      <c r="V85" s="11" t="n">
        <v>4</v>
      </c>
      <c r="W85" s="11" t="n">
        <v>0</v>
      </c>
      <c r="X85" s="11" t="n">
        <v>0</v>
      </c>
      <c r="Y85" s="11" t="n">
        <v>0</v>
      </c>
      <c r="Z85" s="11" t="n">
        <v>0</v>
      </c>
      <c r="AA85" s="11" t="n">
        <v>0</v>
      </c>
      <c r="AB85" s="11" t="n">
        <v>0</v>
      </c>
      <c r="AC85" s="11" t="n">
        <v>0</v>
      </c>
      <c r="AD85" s="11" t="n">
        <v>0</v>
      </c>
      <c r="AE85" s="11" t="n">
        <v>0</v>
      </c>
      <c r="AF85" s="11" t="n">
        <v>12</v>
      </c>
      <c r="AG85" s="11" t="n">
        <v>1.5</v>
      </c>
      <c r="AH85" s="11" t="n">
        <v>0</v>
      </c>
      <c r="AI85" s="11" t="n">
        <v>0</v>
      </c>
      <c r="AJ85" s="11" t="n">
        <v>0</v>
      </c>
      <c r="AK85" s="11" t="n">
        <v>0</v>
      </c>
      <c r="AL85" s="11" t="n">
        <v>0</v>
      </c>
      <c r="AM85" s="11" t="n">
        <v>0</v>
      </c>
      <c r="AN85" s="11" t="n">
        <v>0</v>
      </c>
      <c r="AO85" s="11" t="n">
        <v>0</v>
      </c>
      <c r="AP85" s="11" t="n">
        <v>0</v>
      </c>
      <c r="AQ85" s="11" t="n">
        <v>0</v>
      </c>
      <c r="AR85" s="11" t="n">
        <v>0</v>
      </c>
      <c r="AS85" s="11" t="n">
        <v>4</v>
      </c>
      <c r="AT85" s="11" t="n">
        <v>0</v>
      </c>
      <c r="AU85" s="11" t="n">
        <v>0</v>
      </c>
      <c r="AV85" s="11" t="n">
        <v>0</v>
      </c>
      <c r="AW85" s="11" t="n">
        <v>0</v>
      </c>
      <c r="AX85" s="11" t="n">
        <v>0</v>
      </c>
      <c r="AY85" s="11" t="n">
        <v>0</v>
      </c>
      <c r="AZ85" s="11" t="n">
        <v>3</v>
      </c>
      <c r="BA85" s="11" t="n">
        <v>3</v>
      </c>
      <c r="BB85" s="11" t="n">
        <v>0</v>
      </c>
      <c r="BC85" s="11" t="n">
        <v>0</v>
      </c>
      <c r="BD85" s="11" t="n">
        <v>0</v>
      </c>
      <c r="BE85" s="11" t="n">
        <v>0</v>
      </c>
      <c r="BF85" s="11" t="n">
        <v>0</v>
      </c>
      <c r="BG85" s="11" t="n">
        <v>0</v>
      </c>
      <c r="BH85" s="11" t="n">
        <v>0</v>
      </c>
      <c r="BI85" s="11" t="n">
        <v>0</v>
      </c>
      <c r="BJ85" s="11" t="n">
        <v>0</v>
      </c>
      <c r="BK85" s="11" t="n">
        <v>0</v>
      </c>
      <c r="BL85" s="11" t="n">
        <v>18</v>
      </c>
      <c r="BM85" s="11" t="n">
        <v>0</v>
      </c>
      <c r="BN85" s="11" t="n">
        <v>6</v>
      </c>
      <c r="BO85" s="11" t="n">
        <v>0</v>
      </c>
      <c r="BP85" s="11" t="n">
        <v>0</v>
      </c>
      <c r="BQ85" s="11" t="n">
        <v>0</v>
      </c>
      <c r="BR85" s="11" t="n">
        <v>0</v>
      </c>
      <c r="BS85" s="11" t="n">
        <v>0</v>
      </c>
      <c r="BT85" s="11" t="n">
        <v>0</v>
      </c>
      <c r="BU85" s="11" t="n">
        <v>0</v>
      </c>
      <c r="BV85" s="11" t="n">
        <v>0</v>
      </c>
      <c r="BW85" s="11" t="n">
        <v>4.5</v>
      </c>
      <c r="BX85" s="11" t="n">
        <v>0</v>
      </c>
      <c r="BY85" s="11" t="n">
        <v>0</v>
      </c>
      <c r="BZ85" s="11" t="n">
        <v>0</v>
      </c>
      <c r="CA85" s="11" t="n">
        <v>0</v>
      </c>
      <c r="CB85" s="11" t="n">
        <v>0</v>
      </c>
      <c r="CC85" s="11" t="n">
        <v>0</v>
      </c>
      <c r="CD85" s="11" t="n">
        <v>0</v>
      </c>
      <c r="CE85" s="11" t="n">
        <v>0</v>
      </c>
    </row>
    <row r="86">
      <c r="A86" s="14" t="inlineStr">
        <is>
          <t>2025-10-31</t>
        </is>
      </c>
      <c r="B86" s="8" t="n">
        <v>0</v>
      </c>
      <c r="C86" s="8" t="n">
        <v>0</v>
      </c>
      <c r="D86" s="8" t="n">
        <v>0</v>
      </c>
      <c r="E86" s="8" t="n">
        <v>0</v>
      </c>
      <c r="F86" s="8" t="n">
        <v>0</v>
      </c>
      <c r="G86" s="8" t="n">
        <v>0</v>
      </c>
      <c r="H86" s="8" t="n">
        <v>0</v>
      </c>
      <c r="I86" s="8" t="n">
        <v>2</v>
      </c>
      <c r="J86" s="8" t="n">
        <v>0</v>
      </c>
      <c r="K86" s="8" t="n">
        <v>0</v>
      </c>
      <c r="L86" s="8" t="n">
        <v>0</v>
      </c>
      <c r="M86" s="8" t="n">
        <v>0</v>
      </c>
      <c r="N86" s="8" t="n">
        <v>0</v>
      </c>
      <c r="O86" s="8" t="n">
        <v>0</v>
      </c>
      <c r="P86" s="8" t="n">
        <v>0</v>
      </c>
      <c r="Q86" s="8" t="n">
        <v>0</v>
      </c>
      <c r="R86" s="8" t="n">
        <v>10</v>
      </c>
      <c r="S86" s="8" t="n">
        <v>0</v>
      </c>
      <c r="T86" s="8" t="n">
        <v>0</v>
      </c>
      <c r="U86" s="8" t="n">
        <v>0</v>
      </c>
      <c r="V86" s="8" t="n">
        <v>4</v>
      </c>
      <c r="W86" s="8" t="n">
        <v>0</v>
      </c>
      <c r="X86" s="8" t="n">
        <v>0</v>
      </c>
      <c r="Y86" s="8" t="n">
        <v>0</v>
      </c>
      <c r="Z86" s="8" t="n">
        <v>0</v>
      </c>
      <c r="AA86" s="8" t="n">
        <v>0</v>
      </c>
      <c r="AB86" s="8" t="n">
        <v>0</v>
      </c>
      <c r="AC86" s="8" t="n">
        <v>0</v>
      </c>
      <c r="AD86" s="8" t="n">
        <v>0</v>
      </c>
      <c r="AE86" s="8" t="n">
        <v>0</v>
      </c>
      <c r="AF86" s="8" t="n">
        <v>12</v>
      </c>
      <c r="AG86" s="8" t="n">
        <v>1.5</v>
      </c>
      <c r="AH86" s="8" t="n">
        <v>0</v>
      </c>
      <c r="AI86" s="8" t="n">
        <v>0</v>
      </c>
      <c r="AJ86" s="8" t="n">
        <v>0</v>
      </c>
      <c r="AK86" s="8" t="n">
        <v>0</v>
      </c>
      <c r="AL86" s="8" t="n">
        <v>0</v>
      </c>
      <c r="AM86" s="8" t="n">
        <v>0</v>
      </c>
      <c r="AN86" s="8" t="n">
        <v>0</v>
      </c>
      <c r="AO86" s="8" t="n">
        <v>0</v>
      </c>
      <c r="AP86" s="8" t="n">
        <v>0</v>
      </c>
      <c r="AQ86" s="8" t="n">
        <v>0</v>
      </c>
      <c r="AR86" s="8" t="n">
        <v>0</v>
      </c>
      <c r="AS86" s="8" t="n">
        <v>4</v>
      </c>
      <c r="AT86" s="8" t="n">
        <v>0</v>
      </c>
      <c r="AU86" s="8" t="n">
        <v>0</v>
      </c>
      <c r="AV86" s="8" t="n">
        <v>0</v>
      </c>
      <c r="AW86" s="8" t="n">
        <v>0</v>
      </c>
      <c r="AX86" s="8" t="n">
        <v>0</v>
      </c>
      <c r="AY86" s="8" t="n">
        <v>0</v>
      </c>
      <c r="AZ86" s="8" t="n">
        <v>3</v>
      </c>
      <c r="BA86" s="8" t="n">
        <v>3</v>
      </c>
      <c r="BB86" s="8" t="n">
        <v>0</v>
      </c>
      <c r="BC86" s="8" t="n">
        <v>0</v>
      </c>
      <c r="BD86" s="8" t="n">
        <v>0</v>
      </c>
      <c r="BE86" s="8" t="n">
        <v>0</v>
      </c>
      <c r="BF86" s="8" t="n">
        <v>0</v>
      </c>
      <c r="BG86" s="8" t="n">
        <v>0</v>
      </c>
      <c r="BH86" s="8" t="n">
        <v>0</v>
      </c>
      <c r="BI86" s="8" t="n">
        <v>0</v>
      </c>
      <c r="BJ86" s="8" t="n">
        <v>0</v>
      </c>
      <c r="BK86" s="8" t="n">
        <v>0</v>
      </c>
      <c r="BL86" s="8" t="n">
        <v>18</v>
      </c>
      <c r="BM86" s="8" t="n">
        <v>0</v>
      </c>
      <c r="BN86" s="8" t="n">
        <v>6</v>
      </c>
      <c r="BO86" s="8" t="n">
        <v>0</v>
      </c>
      <c r="BP86" s="8" t="n">
        <v>0</v>
      </c>
      <c r="BQ86" s="8" t="n">
        <v>0</v>
      </c>
      <c r="BR86" s="8" t="n">
        <v>0</v>
      </c>
      <c r="BS86" s="8" t="n">
        <v>0</v>
      </c>
      <c r="BT86" s="8" t="n">
        <v>0</v>
      </c>
      <c r="BU86" s="8" t="n">
        <v>0</v>
      </c>
      <c r="BV86" s="8" t="n">
        <v>0</v>
      </c>
      <c r="BW86" s="8" t="n">
        <v>4.5</v>
      </c>
      <c r="BX86" s="8" t="n">
        <v>0</v>
      </c>
      <c r="BY86" s="8" t="n">
        <v>0</v>
      </c>
      <c r="BZ86" s="8" t="n">
        <v>0</v>
      </c>
      <c r="CA86" s="8" t="n">
        <v>0</v>
      </c>
      <c r="CB86" s="8" t="n">
        <v>0</v>
      </c>
      <c r="CC86" s="8" t="n">
        <v>0</v>
      </c>
      <c r="CD86" s="8" t="n">
        <v>0</v>
      </c>
      <c r="CE86" s="8" t="n">
        <v>0</v>
      </c>
    </row>
    <row r="87">
      <c r="A87" s="15" t="inlineStr">
        <is>
          <t>2025-11-03</t>
        </is>
      </c>
      <c r="B87" s="11" t="n">
        <v>0</v>
      </c>
      <c r="C87" s="11" t="n">
        <v>0</v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2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  <c r="P87" s="11" t="n">
        <v>0</v>
      </c>
      <c r="Q87" s="11" t="n">
        <v>0</v>
      </c>
      <c r="R87" s="11" t="n">
        <v>10</v>
      </c>
      <c r="S87" s="11" t="n">
        <v>0</v>
      </c>
      <c r="T87" s="11" t="n">
        <v>0</v>
      </c>
      <c r="U87" s="11" t="n">
        <v>0</v>
      </c>
      <c r="V87" s="11" t="n">
        <v>4</v>
      </c>
      <c r="W87" s="11" t="n">
        <v>0</v>
      </c>
      <c r="X87" s="11" t="n">
        <v>0</v>
      </c>
      <c r="Y87" s="11" t="n">
        <v>0</v>
      </c>
      <c r="Z87" s="11" t="n">
        <v>0</v>
      </c>
      <c r="AA87" s="11" t="n">
        <v>0</v>
      </c>
      <c r="AB87" s="11" t="n">
        <v>0</v>
      </c>
      <c r="AC87" s="11" t="n">
        <v>0</v>
      </c>
      <c r="AD87" s="11" t="n">
        <v>0</v>
      </c>
      <c r="AE87" s="11" t="n">
        <v>0</v>
      </c>
      <c r="AF87" s="11" t="n">
        <v>12</v>
      </c>
      <c r="AG87" s="11" t="n">
        <v>1.5</v>
      </c>
      <c r="AH87" s="11" t="n">
        <v>0</v>
      </c>
      <c r="AI87" s="11" t="n">
        <v>0</v>
      </c>
      <c r="AJ87" s="11" t="n">
        <v>0</v>
      </c>
      <c r="AK87" s="11" t="n">
        <v>0</v>
      </c>
      <c r="AL87" s="11" t="n">
        <v>0</v>
      </c>
      <c r="AM87" s="11" t="n">
        <v>0</v>
      </c>
      <c r="AN87" s="11" t="n">
        <v>0</v>
      </c>
      <c r="AO87" s="11" t="n">
        <v>0</v>
      </c>
      <c r="AP87" s="11" t="n">
        <v>0</v>
      </c>
      <c r="AQ87" s="11" t="n">
        <v>0</v>
      </c>
      <c r="AR87" s="11" t="n">
        <v>0</v>
      </c>
      <c r="AS87" s="11" t="n">
        <v>4</v>
      </c>
      <c r="AT87" s="11" t="n">
        <v>0</v>
      </c>
      <c r="AU87" s="11" t="n">
        <v>0</v>
      </c>
      <c r="AV87" s="11" t="n">
        <v>0</v>
      </c>
      <c r="AW87" s="11" t="n">
        <v>0</v>
      </c>
      <c r="AX87" s="11" t="n">
        <v>0</v>
      </c>
      <c r="AY87" s="11" t="n">
        <v>0</v>
      </c>
      <c r="AZ87" s="11" t="n">
        <v>3</v>
      </c>
      <c r="BA87" s="11" t="n">
        <v>3</v>
      </c>
      <c r="BB87" s="11" t="n">
        <v>0</v>
      </c>
      <c r="BC87" s="11" t="n">
        <v>0</v>
      </c>
      <c r="BD87" s="11" t="n">
        <v>0</v>
      </c>
      <c r="BE87" s="11" t="n">
        <v>0</v>
      </c>
      <c r="BF87" s="11" t="n">
        <v>0</v>
      </c>
      <c r="BG87" s="11" t="n">
        <v>0</v>
      </c>
      <c r="BH87" s="11" t="n">
        <v>0</v>
      </c>
      <c r="BI87" s="11" t="n">
        <v>0</v>
      </c>
      <c r="BJ87" s="11" t="n">
        <v>0</v>
      </c>
      <c r="BK87" s="11" t="n">
        <v>0</v>
      </c>
      <c r="BL87" s="11" t="n">
        <v>18</v>
      </c>
      <c r="BM87" s="11" t="n">
        <v>0</v>
      </c>
      <c r="BN87" s="11" t="n">
        <v>6</v>
      </c>
      <c r="BO87" s="11" t="n">
        <v>0</v>
      </c>
      <c r="BP87" s="11" t="n">
        <v>0</v>
      </c>
      <c r="BQ87" s="11" t="n">
        <v>0</v>
      </c>
      <c r="BR87" s="11" t="n">
        <v>0</v>
      </c>
      <c r="BS87" s="11" t="n">
        <v>0</v>
      </c>
      <c r="BT87" s="11" t="n">
        <v>0</v>
      </c>
      <c r="BU87" s="11" t="n">
        <v>0</v>
      </c>
      <c r="BV87" s="11" t="n">
        <v>0</v>
      </c>
      <c r="BW87" s="11" t="n">
        <v>4.5</v>
      </c>
      <c r="BX87" s="11" t="n">
        <v>0</v>
      </c>
      <c r="BY87" s="11" t="n">
        <v>0</v>
      </c>
      <c r="BZ87" s="11" t="n">
        <v>0</v>
      </c>
      <c r="CA87" s="11" t="n">
        <v>0</v>
      </c>
      <c r="CB87" s="11" t="n">
        <v>0</v>
      </c>
      <c r="CC87" s="11" t="n">
        <v>0</v>
      </c>
      <c r="CD87" s="11" t="n">
        <v>0</v>
      </c>
      <c r="CE87" s="11" t="n">
        <v>0</v>
      </c>
    </row>
    <row r="88">
      <c r="A88" s="14" t="inlineStr">
        <is>
          <t>2025-11-04</t>
        </is>
      </c>
      <c r="B88" s="8" t="n">
        <v>0</v>
      </c>
      <c r="C88" s="8" t="n">
        <v>0</v>
      </c>
      <c r="D88" s="8" t="n">
        <v>0</v>
      </c>
      <c r="E88" s="8" t="n">
        <v>0</v>
      </c>
      <c r="F88" s="8" t="n">
        <v>0</v>
      </c>
      <c r="G88" s="8" t="n">
        <v>0</v>
      </c>
      <c r="H88" s="8" t="n">
        <v>0</v>
      </c>
      <c r="I88" s="8" t="n">
        <v>2</v>
      </c>
      <c r="J88" s="8" t="n">
        <v>0</v>
      </c>
      <c r="K88" s="8" t="n">
        <v>0</v>
      </c>
      <c r="L88" s="8" t="n">
        <v>0</v>
      </c>
      <c r="M88" s="8" t="n">
        <v>0</v>
      </c>
      <c r="N88" s="8" t="n">
        <v>0</v>
      </c>
      <c r="O88" s="8" t="n">
        <v>0</v>
      </c>
      <c r="P88" s="8" t="n">
        <v>0</v>
      </c>
      <c r="Q88" s="8" t="n">
        <v>0</v>
      </c>
      <c r="R88" s="8" t="n">
        <v>10</v>
      </c>
      <c r="S88" s="8" t="n">
        <v>0</v>
      </c>
      <c r="T88" s="8" t="n">
        <v>0</v>
      </c>
      <c r="U88" s="8" t="n">
        <v>0</v>
      </c>
      <c r="V88" s="8" t="n">
        <v>4</v>
      </c>
      <c r="W88" s="8" t="n">
        <v>0</v>
      </c>
      <c r="X88" s="8" t="n">
        <v>0</v>
      </c>
      <c r="Y88" s="8" t="n">
        <v>0</v>
      </c>
      <c r="Z88" s="8" t="n">
        <v>0</v>
      </c>
      <c r="AA88" s="8" t="n">
        <v>0</v>
      </c>
      <c r="AB88" s="8" t="n">
        <v>0</v>
      </c>
      <c r="AC88" s="8" t="n">
        <v>0</v>
      </c>
      <c r="AD88" s="8" t="n">
        <v>0</v>
      </c>
      <c r="AE88" s="8" t="n">
        <v>0</v>
      </c>
      <c r="AF88" s="8" t="n">
        <v>12</v>
      </c>
      <c r="AG88" s="8" t="n">
        <v>1.5</v>
      </c>
      <c r="AH88" s="8" t="n">
        <v>0</v>
      </c>
      <c r="AI88" s="8" t="n">
        <v>0</v>
      </c>
      <c r="AJ88" s="8" t="n">
        <v>0</v>
      </c>
      <c r="AK88" s="8" t="n">
        <v>0</v>
      </c>
      <c r="AL88" s="8" t="n">
        <v>0</v>
      </c>
      <c r="AM88" s="8" t="n">
        <v>0</v>
      </c>
      <c r="AN88" s="8" t="n">
        <v>0</v>
      </c>
      <c r="AO88" s="8" t="n">
        <v>0</v>
      </c>
      <c r="AP88" s="8" t="n">
        <v>0</v>
      </c>
      <c r="AQ88" s="8" t="n">
        <v>0</v>
      </c>
      <c r="AR88" s="8" t="n">
        <v>0</v>
      </c>
      <c r="AS88" s="8" t="n">
        <v>4</v>
      </c>
      <c r="AT88" s="8" t="n">
        <v>0</v>
      </c>
      <c r="AU88" s="8" t="n">
        <v>0</v>
      </c>
      <c r="AV88" s="8" t="n">
        <v>0</v>
      </c>
      <c r="AW88" s="8" t="n">
        <v>0</v>
      </c>
      <c r="AX88" s="8" t="n">
        <v>0</v>
      </c>
      <c r="AY88" s="8" t="n">
        <v>0</v>
      </c>
      <c r="AZ88" s="8" t="n">
        <v>3</v>
      </c>
      <c r="BA88" s="8" t="n">
        <v>3</v>
      </c>
      <c r="BB88" s="8" t="n">
        <v>0</v>
      </c>
      <c r="BC88" s="8" t="n">
        <v>0</v>
      </c>
      <c r="BD88" s="8" t="n">
        <v>0</v>
      </c>
      <c r="BE88" s="8" t="n">
        <v>0</v>
      </c>
      <c r="BF88" s="8" t="n">
        <v>0</v>
      </c>
      <c r="BG88" s="8" t="n">
        <v>0</v>
      </c>
      <c r="BH88" s="8" t="n">
        <v>0</v>
      </c>
      <c r="BI88" s="8" t="n">
        <v>0</v>
      </c>
      <c r="BJ88" s="8" t="n">
        <v>0</v>
      </c>
      <c r="BK88" s="8" t="n">
        <v>0</v>
      </c>
      <c r="BL88" s="8" t="n">
        <v>18</v>
      </c>
      <c r="BM88" s="8" t="n">
        <v>0</v>
      </c>
      <c r="BN88" s="8" t="n">
        <v>6</v>
      </c>
      <c r="BO88" s="8" t="n">
        <v>0</v>
      </c>
      <c r="BP88" s="8" t="n">
        <v>0</v>
      </c>
      <c r="BQ88" s="8" t="n">
        <v>0</v>
      </c>
      <c r="BR88" s="8" t="n">
        <v>0</v>
      </c>
      <c r="BS88" s="8" t="n">
        <v>0</v>
      </c>
      <c r="BT88" s="8" t="n">
        <v>0</v>
      </c>
      <c r="BU88" s="8" t="n">
        <v>0</v>
      </c>
      <c r="BV88" s="8" t="n">
        <v>0</v>
      </c>
      <c r="BW88" s="8" t="n">
        <v>4.5</v>
      </c>
      <c r="BX88" s="8" t="n">
        <v>0</v>
      </c>
      <c r="BY88" s="8" t="n">
        <v>0</v>
      </c>
      <c r="BZ88" s="8" t="n">
        <v>0</v>
      </c>
      <c r="CA88" s="8" t="n">
        <v>0</v>
      </c>
      <c r="CB88" s="8" t="n">
        <v>0</v>
      </c>
      <c r="CC88" s="8" t="n">
        <v>0</v>
      </c>
      <c r="CD88" s="8" t="n">
        <v>0</v>
      </c>
      <c r="CE88" s="8" t="n">
        <v>0</v>
      </c>
    </row>
    <row r="89">
      <c r="A89" s="15" t="inlineStr">
        <is>
          <t>2025-11-05</t>
        </is>
      </c>
      <c r="B89" s="11" t="n">
        <v>0</v>
      </c>
      <c r="C89" s="11" t="n">
        <v>0</v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2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  <c r="P89" s="11" t="n">
        <v>0</v>
      </c>
      <c r="Q89" s="11" t="n">
        <v>0</v>
      </c>
      <c r="R89" s="11" t="n">
        <v>10</v>
      </c>
      <c r="S89" s="11" t="n">
        <v>0</v>
      </c>
      <c r="T89" s="11" t="n">
        <v>0</v>
      </c>
      <c r="U89" s="11" t="n">
        <v>0</v>
      </c>
      <c r="V89" s="11" t="n">
        <v>4</v>
      </c>
      <c r="W89" s="11" t="n">
        <v>0</v>
      </c>
      <c r="X89" s="11" t="n">
        <v>0</v>
      </c>
      <c r="Y89" s="11" t="n">
        <v>0</v>
      </c>
      <c r="Z89" s="11" t="n">
        <v>0</v>
      </c>
      <c r="AA89" s="11" t="n">
        <v>0</v>
      </c>
      <c r="AB89" s="11" t="n">
        <v>0</v>
      </c>
      <c r="AC89" s="11" t="n">
        <v>0</v>
      </c>
      <c r="AD89" s="11" t="n">
        <v>0</v>
      </c>
      <c r="AE89" s="11" t="n">
        <v>0</v>
      </c>
      <c r="AF89" s="11" t="n">
        <v>12</v>
      </c>
      <c r="AG89" s="11" t="n">
        <v>1.5</v>
      </c>
      <c r="AH89" s="11" t="n">
        <v>0</v>
      </c>
      <c r="AI89" s="11" t="n">
        <v>0</v>
      </c>
      <c r="AJ89" s="11" t="n">
        <v>0</v>
      </c>
      <c r="AK89" s="11" t="n">
        <v>0</v>
      </c>
      <c r="AL89" s="11" t="n">
        <v>0</v>
      </c>
      <c r="AM89" s="11" t="n">
        <v>0</v>
      </c>
      <c r="AN89" s="11" t="n">
        <v>0</v>
      </c>
      <c r="AO89" s="11" t="n">
        <v>0</v>
      </c>
      <c r="AP89" s="11" t="n">
        <v>0</v>
      </c>
      <c r="AQ89" s="11" t="n">
        <v>0</v>
      </c>
      <c r="AR89" s="11" t="n">
        <v>0</v>
      </c>
      <c r="AS89" s="11" t="n">
        <v>4</v>
      </c>
      <c r="AT89" s="11" t="n">
        <v>0</v>
      </c>
      <c r="AU89" s="11" t="n">
        <v>0</v>
      </c>
      <c r="AV89" s="11" t="n">
        <v>0</v>
      </c>
      <c r="AW89" s="11" t="n">
        <v>0</v>
      </c>
      <c r="AX89" s="11" t="n">
        <v>0</v>
      </c>
      <c r="AY89" s="11" t="n">
        <v>0</v>
      </c>
      <c r="AZ89" s="11" t="n">
        <v>3</v>
      </c>
      <c r="BA89" s="11" t="n">
        <v>3</v>
      </c>
      <c r="BB89" s="11" t="n">
        <v>0</v>
      </c>
      <c r="BC89" s="11" t="n">
        <v>0</v>
      </c>
      <c r="BD89" s="11" t="n">
        <v>0</v>
      </c>
      <c r="BE89" s="11" t="n">
        <v>0</v>
      </c>
      <c r="BF89" s="11" t="n">
        <v>0</v>
      </c>
      <c r="BG89" s="11" t="n">
        <v>0</v>
      </c>
      <c r="BH89" s="11" t="n">
        <v>0</v>
      </c>
      <c r="BI89" s="11" t="n">
        <v>0</v>
      </c>
      <c r="BJ89" s="11" t="n">
        <v>0</v>
      </c>
      <c r="BK89" s="11" t="n">
        <v>0</v>
      </c>
      <c r="BL89" s="11" t="n">
        <v>18</v>
      </c>
      <c r="BM89" s="11" t="n">
        <v>0</v>
      </c>
      <c r="BN89" s="11" t="n">
        <v>6</v>
      </c>
      <c r="BO89" s="11" t="n">
        <v>0</v>
      </c>
      <c r="BP89" s="11" t="n">
        <v>0</v>
      </c>
      <c r="BQ89" s="11" t="n">
        <v>0</v>
      </c>
      <c r="BR89" s="11" t="n">
        <v>0</v>
      </c>
      <c r="BS89" s="11" t="n">
        <v>0</v>
      </c>
      <c r="BT89" s="11" t="n">
        <v>0</v>
      </c>
      <c r="BU89" s="11" t="n">
        <v>0</v>
      </c>
      <c r="BV89" s="11" t="n">
        <v>0</v>
      </c>
      <c r="BW89" s="11" t="n">
        <v>4.5</v>
      </c>
      <c r="BX89" s="11" t="n">
        <v>0</v>
      </c>
      <c r="BY89" s="11" t="n">
        <v>0</v>
      </c>
      <c r="BZ89" s="11" t="n">
        <v>0</v>
      </c>
      <c r="CA89" s="11" t="n">
        <v>0</v>
      </c>
      <c r="CB89" s="11" t="n">
        <v>0</v>
      </c>
      <c r="CC89" s="11" t="n">
        <v>0</v>
      </c>
      <c r="CD89" s="11" t="n">
        <v>0</v>
      </c>
      <c r="CE89" s="11" t="n">
        <v>0</v>
      </c>
    </row>
    <row r="90">
      <c r="A90" s="14" t="inlineStr">
        <is>
          <t>2025-11-06</t>
        </is>
      </c>
      <c r="B90" s="8" t="n">
        <v>0</v>
      </c>
      <c r="C90" s="8" t="n">
        <v>0</v>
      </c>
      <c r="D90" s="8" t="n">
        <v>0</v>
      </c>
      <c r="E90" s="8" t="n">
        <v>0</v>
      </c>
      <c r="F90" s="8" t="n">
        <v>0</v>
      </c>
      <c r="G90" s="8" t="n">
        <v>0</v>
      </c>
      <c r="H90" s="8" t="n">
        <v>0</v>
      </c>
      <c r="I90" s="8" t="n">
        <v>2</v>
      </c>
      <c r="J90" s="8" t="n">
        <v>0</v>
      </c>
      <c r="K90" s="8" t="n">
        <v>0</v>
      </c>
      <c r="L90" s="8" t="n">
        <v>0</v>
      </c>
      <c r="M90" s="8" t="n">
        <v>0</v>
      </c>
      <c r="N90" s="8" t="n">
        <v>0</v>
      </c>
      <c r="O90" s="8" t="n">
        <v>0</v>
      </c>
      <c r="P90" s="8" t="n">
        <v>0</v>
      </c>
      <c r="Q90" s="8" t="n">
        <v>0</v>
      </c>
      <c r="R90" s="8" t="n">
        <v>10</v>
      </c>
      <c r="S90" s="8" t="n">
        <v>0</v>
      </c>
      <c r="T90" s="8" t="n">
        <v>0</v>
      </c>
      <c r="U90" s="8" t="n">
        <v>0</v>
      </c>
      <c r="V90" s="8" t="n">
        <v>4</v>
      </c>
      <c r="W90" s="8" t="n">
        <v>0</v>
      </c>
      <c r="X90" s="8" t="n">
        <v>0</v>
      </c>
      <c r="Y90" s="8" t="n">
        <v>0</v>
      </c>
      <c r="Z90" s="8" t="n">
        <v>0</v>
      </c>
      <c r="AA90" s="8" t="n">
        <v>0</v>
      </c>
      <c r="AB90" s="8" t="n">
        <v>0</v>
      </c>
      <c r="AC90" s="8" t="n">
        <v>0</v>
      </c>
      <c r="AD90" s="8" t="n">
        <v>0</v>
      </c>
      <c r="AE90" s="8" t="n">
        <v>0</v>
      </c>
      <c r="AF90" s="8" t="n">
        <v>12</v>
      </c>
      <c r="AG90" s="8" t="n">
        <v>1.5</v>
      </c>
      <c r="AH90" s="8" t="n">
        <v>0</v>
      </c>
      <c r="AI90" s="8" t="n">
        <v>0</v>
      </c>
      <c r="AJ90" s="8" t="n">
        <v>0</v>
      </c>
      <c r="AK90" s="8" t="n">
        <v>0</v>
      </c>
      <c r="AL90" s="8" t="n">
        <v>0</v>
      </c>
      <c r="AM90" s="8" t="n">
        <v>0</v>
      </c>
      <c r="AN90" s="8" t="n">
        <v>0</v>
      </c>
      <c r="AO90" s="8" t="n">
        <v>0</v>
      </c>
      <c r="AP90" s="8" t="n">
        <v>0</v>
      </c>
      <c r="AQ90" s="8" t="n">
        <v>0</v>
      </c>
      <c r="AR90" s="8" t="n">
        <v>0</v>
      </c>
      <c r="AS90" s="8" t="n">
        <v>4</v>
      </c>
      <c r="AT90" s="8" t="n">
        <v>0</v>
      </c>
      <c r="AU90" s="8" t="n">
        <v>0</v>
      </c>
      <c r="AV90" s="8" t="n">
        <v>0</v>
      </c>
      <c r="AW90" s="8" t="n">
        <v>0</v>
      </c>
      <c r="AX90" s="8" t="n">
        <v>0</v>
      </c>
      <c r="AY90" s="8" t="n">
        <v>0</v>
      </c>
      <c r="AZ90" s="8" t="n">
        <v>3</v>
      </c>
      <c r="BA90" s="8" t="n">
        <v>3</v>
      </c>
      <c r="BB90" s="8" t="n">
        <v>0</v>
      </c>
      <c r="BC90" s="8" t="n">
        <v>0</v>
      </c>
      <c r="BD90" s="8" t="n">
        <v>0</v>
      </c>
      <c r="BE90" s="8" t="n">
        <v>0</v>
      </c>
      <c r="BF90" s="8" t="n">
        <v>0</v>
      </c>
      <c r="BG90" s="8" t="n">
        <v>0</v>
      </c>
      <c r="BH90" s="8" t="n">
        <v>0</v>
      </c>
      <c r="BI90" s="8" t="n">
        <v>0</v>
      </c>
      <c r="BJ90" s="8" t="n">
        <v>0</v>
      </c>
      <c r="BK90" s="8" t="n">
        <v>0</v>
      </c>
      <c r="BL90" s="8" t="n">
        <v>18</v>
      </c>
      <c r="BM90" s="8" t="n">
        <v>0</v>
      </c>
      <c r="BN90" s="8" t="n">
        <v>6</v>
      </c>
      <c r="BO90" s="8" t="n">
        <v>0</v>
      </c>
      <c r="BP90" s="8" t="n">
        <v>0</v>
      </c>
      <c r="BQ90" s="8" t="n">
        <v>0</v>
      </c>
      <c r="BR90" s="8" t="n">
        <v>0</v>
      </c>
      <c r="BS90" s="8" t="n">
        <v>0</v>
      </c>
      <c r="BT90" s="8" t="n">
        <v>0</v>
      </c>
      <c r="BU90" s="8" t="n">
        <v>0</v>
      </c>
      <c r="BV90" s="8" t="n">
        <v>0</v>
      </c>
      <c r="BW90" s="8" t="n">
        <v>4.5</v>
      </c>
      <c r="BX90" s="8" t="n">
        <v>0</v>
      </c>
      <c r="BY90" s="8" t="n">
        <v>0</v>
      </c>
      <c r="BZ90" s="8" t="n">
        <v>0</v>
      </c>
      <c r="CA90" s="8" t="n">
        <v>0</v>
      </c>
      <c r="CB90" s="8" t="n">
        <v>0</v>
      </c>
      <c r="CC90" s="8" t="n">
        <v>0</v>
      </c>
      <c r="CD90" s="8" t="n">
        <v>0</v>
      </c>
      <c r="CE90" s="8" t="n">
        <v>0</v>
      </c>
    </row>
    <row r="91">
      <c r="A91" s="15" t="inlineStr">
        <is>
          <t>2025-11-07</t>
        </is>
      </c>
      <c r="B91" s="11" t="n">
        <v>0</v>
      </c>
      <c r="C91" s="11" t="n">
        <v>0</v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2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  <c r="P91" s="11" t="n">
        <v>0</v>
      </c>
      <c r="Q91" s="11" t="n">
        <v>0</v>
      </c>
      <c r="R91" s="11" t="n">
        <v>10</v>
      </c>
      <c r="S91" s="11" t="n">
        <v>0</v>
      </c>
      <c r="T91" s="11" t="n">
        <v>0</v>
      </c>
      <c r="U91" s="11" t="n">
        <v>0</v>
      </c>
      <c r="V91" s="11" t="n">
        <v>4</v>
      </c>
      <c r="W91" s="11" t="n">
        <v>0</v>
      </c>
      <c r="X91" s="11" t="n">
        <v>0</v>
      </c>
      <c r="Y91" s="11" t="n">
        <v>0</v>
      </c>
      <c r="Z91" s="11" t="n">
        <v>0</v>
      </c>
      <c r="AA91" s="11" t="n">
        <v>0</v>
      </c>
      <c r="AB91" s="11" t="n">
        <v>0</v>
      </c>
      <c r="AC91" s="11" t="n">
        <v>0</v>
      </c>
      <c r="AD91" s="11" t="n">
        <v>0</v>
      </c>
      <c r="AE91" s="11" t="n">
        <v>0</v>
      </c>
      <c r="AF91" s="11" t="n">
        <v>12</v>
      </c>
      <c r="AG91" s="11" t="n">
        <v>1.5</v>
      </c>
      <c r="AH91" s="11" t="n">
        <v>0</v>
      </c>
      <c r="AI91" s="11" t="n">
        <v>0</v>
      </c>
      <c r="AJ91" s="11" t="n">
        <v>0</v>
      </c>
      <c r="AK91" s="11" t="n">
        <v>0</v>
      </c>
      <c r="AL91" s="11" t="n">
        <v>0</v>
      </c>
      <c r="AM91" s="11" t="n">
        <v>0</v>
      </c>
      <c r="AN91" s="11" t="n">
        <v>0</v>
      </c>
      <c r="AO91" s="11" t="n">
        <v>0</v>
      </c>
      <c r="AP91" s="11" t="n">
        <v>0</v>
      </c>
      <c r="AQ91" s="11" t="n">
        <v>0</v>
      </c>
      <c r="AR91" s="11" t="n">
        <v>0</v>
      </c>
      <c r="AS91" s="11" t="n">
        <v>4</v>
      </c>
      <c r="AT91" s="11" t="n">
        <v>0</v>
      </c>
      <c r="AU91" s="11" t="n">
        <v>0</v>
      </c>
      <c r="AV91" s="11" t="n">
        <v>0</v>
      </c>
      <c r="AW91" s="11" t="n">
        <v>0</v>
      </c>
      <c r="AX91" s="11" t="n">
        <v>0</v>
      </c>
      <c r="AY91" s="11" t="n">
        <v>0</v>
      </c>
      <c r="AZ91" s="11" t="n">
        <v>3</v>
      </c>
      <c r="BA91" s="11" t="n">
        <v>3</v>
      </c>
      <c r="BB91" s="11" t="n">
        <v>0</v>
      </c>
      <c r="BC91" s="11" t="n">
        <v>0</v>
      </c>
      <c r="BD91" s="11" t="n">
        <v>0</v>
      </c>
      <c r="BE91" s="11" t="n">
        <v>0</v>
      </c>
      <c r="BF91" s="11" t="n">
        <v>0</v>
      </c>
      <c r="BG91" s="11" t="n">
        <v>0</v>
      </c>
      <c r="BH91" s="11" t="n">
        <v>0</v>
      </c>
      <c r="BI91" s="11" t="n">
        <v>0</v>
      </c>
      <c r="BJ91" s="11" t="n">
        <v>0</v>
      </c>
      <c r="BK91" s="11" t="n">
        <v>0</v>
      </c>
      <c r="BL91" s="11" t="n">
        <v>18</v>
      </c>
      <c r="BM91" s="11" t="n">
        <v>0</v>
      </c>
      <c r="BN91" s="11" t="n">
        <v>6</v>
      </c>
      <c r="BO91" s="11" t="n">
        <v>0</v>
      </c>
      <c r="BP91" s="11" t="n">
        <v>0</v>
      </c>
      <c r="BQ91" s="11" t="n">
        <v>0</v>
      </c>
      <c r="BR91" s="11" t="n">
        <v>0</v>
      </c>
      <c r="BS91" s="11" t="n">
        <v>0</v>
      </c>
      <c r="BT91" s="11" t="n">
        <v>0</v>
      </c>
      <c r="BU91" s="11" t="n">
        <v>0</v>
      </c>
      <c r="BV91" s="11" t="n">
        <v>0</v>
      </c>
      <c r="BW91" s="11" t="n">
        <v>4.5</v>
      </c>
      <c r="BX91" s="11" t="n">
        <v>0</v>
      </c>
      <c r="BY91" s="11" t="n">
        <v>0</v>
      </c>
      <c r="BZ91" s="11" t="n">
        <v>0</v>
      </c>
      <c r="CA91" s="11" t="n">
        <v>0</v>
      </c>
      <c r="CB91" s="11" t="n">
        <v>0</v>
      </c>
      <c r="CC91" s="11" t="n">
        <v>0</v>
      </c>
      <c r="CD91" s="11" t="n">
        <v>0</v>
      </c>
      <c r="CE91" s="11" t="n">
        <v>0</v>
      </c>
    </row>
    <row r="92">
      <c r="A92" s="14" t="inlineStr">
        <is>
          <t>2025-11-10</t>
        </is>
      </c>
      <c r="B92" s="8" t="n">
        <v>0</v>
      </c>
      <c r="C92" s="8" t="n">
        <v>0</v>
      </c>
      <c r="D92" s="8" t="n">
        <v>0</v>
      </c>
      <c r="E92" s="8" t="n">
        <v>0</v>
      </c>
      <c r="F92" s="8" t="n">
        <v>0</v>
      </c>
      <c r="G92" s="8" t="n">
        <v>0</v>
      </c>
      <c r="H92" s="8" t="n">
        <v>0</v>
      </c>
      <c r="I92" s="8" t="n">
        <v>2</v>
      </c>
      <c r="J92" s="8" t="n">
        <v>0</v>
      </c>
      <c r="K92" s="8" t="n">
        <v>0</v>
      </c>
      <c r="L92" s="8" t="n">
        <v>0</v>
      </c>
      <c r="M92" s="8" t="n">
        <v>0</v>
      </c>
      <c r="N92" s="8" t="n">
        <v>0</v>
      </c>
      <c r="O92" s="8" t="n">
        <v>0</v>
      </c>
      <c r="P92" s="8" t="n">
        <v>0</v>
      </c>
      <c r="Q92" s="8" t="n">
        <v>0</v>
      </c>
      <c r="R92" s="8" t="n">
        <v>10</v>
      </c>
      <c r="S92" s="8" t="n">
        <v>0</v>
      </c>
      <c r="T92" s="8" t="n">
        <v>0</v>
      </c>
      <c r="U92" s="8" t="n">
        <v>0</v>
      </c>
      <c r="V92" s="8" t="n">
        <v>4</v>
      </c>
      <c r="W92" s="8" t="n">
        <v>0</v>
      </c>
      <c r="X92" s="8" t="n">
        <v>0</v>
      </c>
      <c r="Y92" s="8" t="n">
        <v>0</v>
      </c>
      <c r="Z92" s="8" t="n">
        <v>0</v>
      </c>
      <c r="AA92" s="8" t="n">
        <v>0</v>
      </c>
      <c r="AB92" s="8" t="n">
        <v>0</v>
      </c>
      <c r="AC92" s="8" t="n">
        <v>0</v>
      </c>
      <c r="AD92" s="8" t="n">
        <v>0</v>
      </c>
      <c r="AE92" s="8" t="n">
        <v>0</v>
      </c>
      <c r="AF92" s="8" t="n">
        <v>12</v>
      </c>
      <c r="AG92" s="8" t="n">
        <v>1.5</v>
      </c>
      <c r="AH92" s="8" t="n">
        <v>0</v>
      </c>
      <c r="AI92" s="8" t="n">
        <v>0</v>
      </c>
      <c r="AJ92" s="8" t="n">
        <v>0</v>
      </c>
      <c r="AK92" s="8" t="n">
        <v>0</v>
      </c>
      <c r="AL92" s="8" t="n">
        <v>0</v>
      </c>
      <c r="AM92" s="8" t="n">
        <v>0</v>
      </c>
      <c r="AN92" s="8" t="n">
        <v>0</v>
      </c>
      <c r="AO92" s="8" t="n">
        <v>0</v>
      </c>
      <c r="AP92" s="8" t="n">
        <v>0</v>
      </c>
      <c r="AQ92" s="8" t="n">
        <v>0</v>
      </c>
      <c r="AR92" s="8" t="n">
        <v>0</v>
      </c>
      <c r="AS92" s="8" t="n">
        <v>4</v>
      </c>
      <c r="AT92" s="8" t="n">
        <v>0</v>
      </c>
      <c r="AU92" s="8" t="n">
        <v>0</v>
      </c>
      <c r="AV92" s="8" t="n">
        <v>0</v>
      </c>
      <c r="AW92" s="8" t="n">
        <v>0</v>
      </c>
      <c r="AX92" s="8" t="n">
        <v>0</v>
      </c>
      <c r="AY92" s="8" t="n">
        <v>0</v>
      </c>
      <c r="AZ92" s="8" t="n">
        <v>3</v>
      </c>
      <c r="BA92" s="8" t="n">
        <v>3</v>
      </c>
      <c r="BB92" s="8" t="n">
        <v>0</v>
      </c>
      <c r="BC92" s="8" t="n">
        <v>0</v>
      </c>
      <c r="BD92" s="8" t="n">
        <v>0</v>
      </c>
      <c r="BE92" s="8" t="n">
        <v>0</v>
      </c>
      <c r="BF92" s="8" t="n">
        <v>0</v>
      </c>
      <c r="BG92" s="8" t="n">
        <v>0</v>
      </c>
      <c r="BH92" s="8" t="n">
        <v>0</v>
      </c>
      <c r="BI92" s="8" t="n">
        <v>0</v>
      </c>
      <c r="BJ92" s="8" t="n">
        <v>0</v>
      </c>
      <c r="BK92" s="8" t="n">
        <v>0</v>
      </c>
      <c r="BL92" s="8" t="n">
        <v>18</v>
      </c>
      <c r="BM92" s="8" t="n">
        <v>0</v>
      </c>
      <c r="BN92" s="8" t="n">
        <v>6</v>
      </c>
      <c r="BO92" s="8" t="n">
        <v>0</v>
      </c>
      <c r="BP92" s="8" t="n">
        <v>0</v>
      </c>
      <c r="BQ92" s="8" t="n">
        <v>0</v>
      </c>
      <c r="BR92" s="8" t="n">
        <v>0</v>
      </c>
      <c r="BS92" s="8" t="n">
        <v>0</v>
      </c>
      <c r="BT92" s="8" t="n">
        <v>0</v>
      </c>
      <c r="BU92" s="8" t="n">
        <v>0</v>
      </c>
      <c r="BV92" s="8" t="n">
        <v>0</v>
      </c>
      <c r="BW92" s="8" t="n">
        <v>4.5</v>
      </c>
      <c r="BX92" s="8" t="n">
        <v>0</v>
      </c>
      <c r="BY92" s="8" t="n">
        <v>0</v>
      </c>
      <c r="BZ92" s="8" t="n">
        <v>0</v>
      </c>
      <c r="CA92" s="8" t="n">
        <v>0</v>
      </c>
      <c r="CB92" s="8" t="n">
        <v>0</v>
      </c>
      <c r="CC92" s="8" t="n">
        <v>0</v>
      </c>
      <c r="CD92" s="8" t="n">
        <v>0</v>
      </c>
      <c r="CE92" s="8" t="n">
        <v>0</v>
      </c>
    </row>
    <row r="93">
      <c r="A93" s="15" t="inlineStr">
        <is>
          <t>2025-11-11</t>
        </is>
      </c>
      <c r="B93" s="11" t="n">
        <v>0</v>
      </c>
      <c r="C93" s="11" t="n">
        <v>0</v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2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  <c r="P93" s="11" t="n">
        <v>0</v>
      </c>
      <c r="Q93" s="11" t="n">
        <v>0</v>
      </c>
      <c r="R93" s="11" t="n">
        <v>10</v>
      </c>
      <c r="S93" s="11" t="n">
        <v>0</v>
      </c>
      <c r="T93" s="11" t="n">
        <v>0</v>
      </c>
      <c r="U93" s="11" t="n">
        <v>0</v>
      </c>
      <c r="V93" s="11" t="n">
        <v>4</v>
      </c>
      <c r="W93" s="11" t="n">
        <v>0</v>
      </c>
      <c r="X93" s="11" t="n">
        <v>0</v>
      </c>
      <c r="Y93" s="11" t="n">
        <v>0</v>
      </c>
      <c r="Z93" s="11" t="n">
        <v>0</v>
      </c>
      <c r="AA93" s="11" t="n">
        <v>0</v>
      </c>
      <c r="AB93" s="11" t="n">
        <v>0</v>
      </c>
      <c r="AC93" s="11" t="n">
        <v>0</v>
      </c>
      <c r="AD93" s="11" t="n">
        <v>0</v>
      </c>
      <c r="AE93" s="11" t="n">
        <v>0</v>
      </c>
      <c r="AF93" s="11" t="n">
        <v>12</v>
      </c>
      <c r="AG93" s="11" t="n">
        <v>1.5</v>
      </c>
      <c r="AH93" s="11" t="n">
        <v>0</v>
      </c>
      <c r="AI93" s="11" t="n">
        <v>0</v>
      </c>
      <c r="AJ93" s="11" t="n">
        <v>0</v>
      </c>
      <c r="AK93" s="11" t="n">
        <v>0</v>
      </c>
      <c r="AL93" s="11" t="n">
        <v>0</v>
      </c>
      <c r="AM93" s="11" t="n">
        <v>0</v>
      </c>
      <c r="AN93" s="11" t="n">
        <v>0</v>
      </c>
      <c r="AO93" s="11" t="n">
        <v>0</v>
      </c>
      <c r="AP93" s="11" t="n">
        <v>0</v>
      </c>
      <c r="AQ93" s="11" t="n">
        <v>0</v>
      </c>
      <c r="AR93" s="11" t="n">
        <v>0</v>
      </c>
      <c r="AS93" s="11" t="n">
        <v>4</v>
      </c>
      <c r="AT93" s="11" t="n">
        <v>0</v>
      </c>
      <c r="AU93" s="11" t="n">
        <v>0</v>
      </c>
      <c r="AV93" s="11" t="n">
        <v>0</v>
      </c>
      <c r="AW93" s="11" t="n">
        <v>0</v>
      </c>
      <c r="AX93" s="11" t="n">
        <v>0</v>
      </c>
      <c r="AY93" s="11" t="n">
        <v>0</v>
      </c>
      <c r="AZ93" s="11" t="n">
        <v>3</v>
      </c>
      <c r="BA93" s="11" t="n">
        <v>3</v>
      </c>
      <c r="BB93" s="11" t="n">
        <v>0</v>
      </c>
      <c r="BC93" s="11" t="n">
        <v>0</v>
      </c>
      <c r="BD93" s="11" t="n">
        <v>0</v>
      </c>
      <c r="BE93" s="11" t="n">
        <v>0</v>
      </c>
      <c r="BF93" s="11" t="n">
        <v>0</v>
      </c>
      <c r="BG93" s="11" t="n">
        <v>0</v>
      </c>
      <c r="BH93" s="11" t="n">
        <v>0</v>
      </c>
      <c r="BI93" s="11" t="n">
        <v>0</v>
      </c>
      <c r="BJ93" s="11" t="n">
        <v>0</v>
      </c>
      <c r="BK93" s="11" t="n">
        <v>0</v>
      </c>
      <c r="BL93" s="11" t="n">
        <v>18</v>
      </c>
      <c r="BM93" s="11" t="n">
        <v>0</v>
      </c>
      <c r="BN93" s="11" t="n">
        <v>6</v>
      </c>
      <c r="BO93" s="11" t="n">
        <v>0</v>
      </c>
      <c r="BP93" s="11" t="n">
        <v>0</v>
      </c>
      <c r="BQ93" s="11" t="n">
        <v>0</v>
      </c>
      <c r="BR93" s="11" t="n">
        <v>0</v>
      </c>
      <c r="BS93" s="11" t="n">
        <v>0</v>
      </c>
      <c r="BT93" s="11" t="n">
        <v>0</v>
      </c>
      <c r="BU93" s="11" t="n">
        <v>0</v>
      </c>
      <c r="BV93" s="11" t="n">
        <v>0</v>
      </c>
      <c r="BW93" s="11" t="n">
        <v>4.5</v>
      </c>
      <c r="BX93" s="11" t="n">
        <v>0</v>
      </c>
      <c r="BY93" s="11" t="n">
        <v>0</v>
      </c>
      <c r="BZ93" s="11" t="n">
        <v>0</v>
      </c>
      <c r="CA93" s="11" t="n">
        <v>0</v>
      </c>
      <c r="CB93" s="11" t="n">
        <v>0</v>
      </c>
      <c r="CC93" s="11" t="n">
        <v>0</v>
      </c>
      <c r="CD93" s="11" t="n">
        <v>0</v>
      </c>
      <c r="CE93" s="11" t="n">
        <v>0</v>
      </c>
    </row>
    <row r="94">
      <c r="A94" s="14" t="inlineStr">
        <is>
          <t>2025-11-12</t>
        </is>
      </c>
      <c r="B94" s="8" t="n">
        <v>0</v>
      </c>
      <c r="C94" s="8" t="n">
        <v>0</v>
      </c>
      <c r="D94" s="8" t="n">
        <v>0</v>
      </c>
      <c r="E94" s="8" t="n">
        <v>0</v>
      </c>
      <c r="F94" s="8" t="n">
        <v>0</v>
      </c>
      <c r="G94" s="8" t="n">
        <v>0</v>
      </c>
      <c r="H94" s="8" t="n">
        <v>0</v>
      </c>
      <c r="I94" s="8" t="n">
        <v>2</v>
      </c>
      <c r="J94" s="8" t="n">
        <v>0</v>
      </c>
      <c r="K94" s="8" t="n">
        <v>0</v>
      </c>
      <c r="L94" s="8" t="n">
        <v>0</v>
      </c>
      <c r="M94" s="8" t="n">
        <v>0</v>
      </c>
      <c r="N94" s="8" t="n">
        <v>0</v>
      </c>
      <c r="O94" s="8" t="n">
        <v>0</v>
      </c>
      <c r="P94" s="8" t="n">
        <v>0</v>
      </c>
      <c r="Q94" s="8" t="n">
        <v>0</v>
      </c>
      <c r="R94" s="8" t="n">
        <v>10</v>
      </c>
      <c r="S94" s="8" t="n">
        <v>0</v>
      </c>
      <c r="T94" s="8" t="n">
        <v>0</v>
      </c>
      <c r="U94" s="8" t="n">
        <v>0</v>
      </c>
      <c r="V94" s="8" t="n">
        <v>4</v>
      </c>
      <c r="W94" s="8" t="n">
        <v>0</v>
      </c>
      <c r="X94" s="8" t="n">
        <v>0</v>
      </c>
      <c r="Y94" s="8" t="n">
        <v>0</v>
      </c>
      <c r="Z94" s="8" t="n">
        <v>0</v>
      </c>
      <c r="AA94" s="8" t="n">
        <v>0</v>
      </c>
      <c r="AB94" s="8" t="n">
        <v>0</v>
      </c>
      <c r="AC94" s="8" t="n">
        <v>0</v>
      </c>
      <c r="AD94" s="8" t="n">
        <v>0</v>
      </c>
      <c r="AE94" s="8" t="n">
        <v>0</v>
      </c>
      <c r="AF94" s="8" t="n">
        <v>12</v>
      </c>
      <c r="AG94" s="8" t="n">
        <v>1.5</v>
      </c>
      <c r="AH94" s="8" t="n">
        <v>0</v>
      </c>
      <c r="AI94" s="8" t="n">
        <v>0</v>
      </c>
      <c r="AJ94" s="8" t="n">
        <v>0</v>
      </c>
      <c r="AK94" s="8" t="n">
        <v>0</v>
      </c>
      <c r="AL94" s="8" t="n">
        <v>0</v>
      </c>
      <c r="AM94" s="8" t="n">
        <v>0</v>
      </c>
      <c r="AN94" s="8" t="n">
        <v>0</v>
      </c>
      <c r="AO94" s="8" t="n">
        <v>0</v>
      </c>
      <c r="AP94" s="8" t="n">
        <v>0</v>
      </c>
      <c r="AQ94" s="8" t="n">
        <v>0</v>
      </c>
      <c r="AR94" s="8" t="n">
        <v>0</v>
      </c>
      <c r="AS94" s="8" t="n">
        <v>4</v>
      </c>
      <c r="AT94" s="8" t="n">
        <v>0</v>
      </c>
      <c r="AU94" s="8" t="n">
        <v>0</v>
      </c>
      <c r="AV94" s="8" t="n">
        <v>0</v>
      </c>
      <c r="AW94" s="8" t="n">
        <v>0</v>
      </c>
      <c r="AX94" s="8" t="n">
        <v>0</v>
      </c>
      <c r="AY94" s="8" t="n">
        <v>0</v>
      </c>
      <c r="AZ94" s="8" t="n">
        <v>3</v>
      </c>
      <c r="BA94" s="8" t="n">
        <v>3</v>
      </c>
      <c r="BB94" s="8" t="n">
        <v>0</v>
      </c>
      <c r="BC94" s="8" t="n">
        <v>0</v>
      </c>
      <c r="BD94" s="8" t="n">
        <v>0</v>
      </c>
      <c r="BE94" s="8" t="n">
        <v>0</v>
      </c>
      <c r="BF94" s="8" t="n">
        <v>0</v>
      </c>
      <c r="BG94" s="8" t="n">
        <v>0</v>
      </c>
      <c r="BH94" s="8" t="n">
        <v>0</v>
      </c>
      <c r="BI94" s="8" t="n">
        <v>0</v>
      </c>
      <c r="BJ94" s="8" t="n">
        <v>0</v>
      </c>
      <c r="BK94" s="8" t="n">
        <v>0</v>
      </c>
      <c r="BL94" s="8" t="n">
        <v>18</v>
      </c>
      <c r="BM94" s="8" t="n">
        <v>0</v>
      </c>
      <c r="BN94" s="8" t="n">
        <v>6</v>
      </c>
      <c r="BO94" s="8" t="n">
        <v>0</v>
      </c>
      <c r="BP94" s="8" t="n">
        <v>0</v>
      </c>
      <c r="BQ94" s="8" t="n">
        <v>0</v>
      </c>
      <c r="BR94" s="8" t="n">
        <v>0</v>
      </c>
      <c r="BS94" s="8" t="n">
        <v>0</v>
      </c>
      <c r="BT94" s="8" t="n">
        <v>0</v>
      </c>
      <c r="BU94" s="8" t="n">
        <v>0</v>
      </c>
      <c r="BV94" s="8" t="n">
        <v>0</v>
      </c>
      <c r="BW94" s="8" t="n">
        <v>4.5</v>
      </c>
      <c r="BX94" s="8" t="n">
        <v>0</v>
      </c>
      <c r="BY94" s="8" t="n">
        <v>0</v>
      </c>
      <c r="BZ94" s="8" t="n">
        <v>0</v>
      </c>
      <c r="CA94" s="8" t="n">
        <v>0</v>
      </c>
      <c r="CB94" s="8" t="n">
        <v>0</v>
      </c>
      <c r="CC94" s="8" t="n">
        <v>0</v>
      </c>
      <c r="CD94" s="8" t="n">
        <v>0</v>
      </c>
      <c r="CE94" s="8" t="n">
        <v>0</v>
      </c>
    </row>
    <row r="95">
      <c r="A95" s="15" t="inlineStr">
        <is>
          <t>2025-11-13</t>
        </is>
      </c>
      <c r="B95" s="11" t="n">
        <v>0</v>
      </c>
      <c r="C95" s="11" t="n">
        <v>0</v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2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  <c r="P95" s="11" t="n">
        <v>0</v>
      </c>
      <c r="Q95" s="11" t="n">
        <v>0</v>
      </c>
      <c r="R95" s="11" t="n">
        <v>10</v>
      </c>
      <c r="S95" s="11" t="n">
        <v>0</v>
      </c>
      <c r="T95" s="11" t="n">
        <v>0</v>
      </c>
      <c r="U95" s="11" t="n">
        <v>0</v>
      </c>
      <c r="V95" s="11" t="n">
        <v>4</v>
      </c>
      <c r="W95" s="11" t="n">
        <v>0</v>
      </c>
      <c r="X95" s="11" t="n">
        <v>0</v>
      </c>
      <c r="Y95" s="11" t="n">
        <v>0</v>
      </c>
      <c r="Z95" s="11" t="n">
        <v>0</v>
      </c>
      <c r="AA95" s="11" t="n">
        <v>0</v>
      </c>
      <c r="AB95" s="11" t="n">
        <v>0</v>
      </c>
      <c r="AC95" s="11" t="n">
        <v>0</v>
      </c>
      <c r="AD95" s="11" t="n">
        <v>0</v>
      </c>
      <c r="AE95" s="11" t="n">
        <v>0</v>
      </c>
      <c r="AF95" s="11" t="n">
        <v>12</v>
      </c>
      <c r="AG95" s="11" t="n">
        <v>1.5</v>
      </c>
      <c r="AH95" s="11" t="n">
        <v>0</v>
      </c>
      <c r="AI95" s="11" t="n">
        <v>0</v>
      </c>
      <c r="AJ95" s="11" t="n">
        <v>0</v>
      </c>
      <c r="AK95" s="11" t="n">
        <v>0</v>
      </c>
      <c r="AL95" s="11" t="n">
        <v>0</v>
      </c>
      <c r="AM95" s="11" t="n">
        <v>0</v>
      </c>
      <c r="AN95" s="11" t="n">
        <v>0</v>
      </c>
      <c r="AO95" s="11" t="n">
        <v>0</v>
      </c>
      <c r="AP95" s="11" t="n">
        <v>0</v>
      </c>
      <c r="AQ95" s="11" t="n">
        <v>0</v>
      </c>
      <c r="AR95" s="11" t="n">
        <v>0</v>
      </c>
      <c r="AS95" s="11" t="n">
        <v>4</v>
      </c>
      <c r="AT95" s="11" t="n">
        <v>0</v>
      </c>
      <c r="AU95" s="11" t="n">
        <v>0</v>
      </c>
      <c r="AV95" s="11" t="n">
        <v>0</v>
      </c>
      <c r="AW95" s="11" t="n">
        <v>0</v>
      </c>
      <c r="AX95" s="11" t="n">
        <v>0</v>
      </c>
      <c r="AY95" s="11" t="n">
        <v>0</v>
      </c>
      <c r="AZ95" s="11" t="n">
        <v>3</v>
      </c>
      <c r="BA95" s="11" t="n">
        <v>3</v>
      </c>
      <c r="BB95" s="11" t="n">
        <v>0</v>
      </c>
      <c r="BC95" s="11" t="n">
        <v>0</v>
      </c>
      <c r="BD95" s="11" t="n">
        <v>0</v>
      </c>
      <c r="BE95" s="11" t="n">
        <v>0</v>
      </c>
      <c r="BF95" s="11" t="n">
        <v>0</v>
      </c>
      <c r="BG95" s="11" t="n">
        <v>0</v>
      </c>
      <c r="BH95" s="11" t="n">
        <v>0</v>
      </c>
      <c r="BI95" s="11" t="n">
        <v>0</v>
      </c>
      <c r="BJ95" s="11" t="n">
        <v>0</v>
      </c>
      <c r="BK95" s="11" t="n">
        <v>0</v>
      </c>
      <c r="BL95" s="11" t="n">
        <v>18</v>
      </c>
      <c r="BM95" s="11" t="n">
        <v>0</v>
      </c>
      <c r="BN95" s="11" t="n">
        <v>6</v>
      </c>
      <c r="BO95" s="11" t="n">
        <v>0</v>
      </c>
      <c r="BP95" s="11" t="n">
        <v>0</v>
      </c>
      <c r="BQ95" s="11" t="n">
        <v>0</v>
      </c>
      <c r="BR95" s="11" t="n">
        <v>0</v>
      </c>
      <c r="BS95" s="11" t="n">
        <v>0</v>
      </c>
      <c r="BT95" s="11" t="n">
        <v>0</v>
      </c>
      <c r="BU95" s="11" t="n">
        <v>0</v>
      </c>
      <c r="BV95" s="11" t="n">
        <v>0</v>
      </c>
      <c r="BW95" s="11" t="n">
        <v>4.5</v>
      </c>
      <c r="BX95" s="11" t="n">
        <v>0</v>
      </c>
      <c r="BY95" s="11" t="n">
        <v>0</v>
      </c>
      <c r="BZ95" s="11" t="n">
        <v>0</v>
      </c>
      <c r="CA95" s="11" t="n">
        <v>0</v>
      </c>
      <c r="CB95" s="11" t="n">
        <v>0</v>
      </c>
      <c r="CC95" s="11" t="n">
        <v>0</v>
      </c>
      <c r="CD95" s="11" t="n">
        <v>0</v>
      </c>
      <c r="CE95" s="11" t="n">
        <v>0</v>
      </c>
    </row>
    <row r="96">
      <c r="A96" s="14" t="inlineStr">
        <is>
          <t>2025-11-14</t>
        </is>
      </c>
      <c r="B96" s="8" t="n">
        <v>0</v>
      </c>
      <c r="C96" s="8" t="n">
        <v>0</v>
      </c>
      <c r="D96" s="8" t="n">
        <v>0</v>
      </c>
      <c r="E96" s="8" t="n">
        <v>0</v>
      </c>
      <c r="F96" s="8" t="n">
        <v>0</v>
      </c>
      <c r="G96" s="8" t="n">
        <v>0</v>
      </c>
      <c r="H96" s="8" t="n">
        <v>0</v>
      </c>
      <c r="I96" s="8" t="n">
        <v>2</v>
      </c>
      <c r="J96" s="8" t="n">
        <v>0</v>
      </c>
      <c r="K96" s="8" t="n">
        <v>0</v>
      </c>
      <c r="L96" s="8" t="n">
        <v>0</v>
      </c>
      <c r="M96" s="8" t="n">
        <v>0</v>
      </c>
      <c r="N96" s="8" t="n">
        <v>0</v>
      </c>
      <c r="O96" s="8" t="n">
        <v>0</v>
      </c>
      <c r="P96" s="8" t="n">
        <v>0</v>
      </c>
      <c r="Q96" s="8" t="n">
        <v>0</v>
      </c>
      <c r="R96" s="8" t="n">
        <v>10</v>
      </c>
      <c r="S96" s="8" t="n">
        <v>0</v>
      </c>
      <c r="T96" s="8" t="n">
        <v>0</v>
      </c>
      <c r="U96" s="8" t="n">
        <v>0</v>
      </c>
      <c r="V96" s="8" t="n">
        <v>4</v>
      </c>
      <c r="W96" s="8" t="n">
        <v>0</v>
      </c>
      <c r="X96" s="8" t="n">
        <v>0</v>
      </c>
      <c r="Y96" s="8" t="n">
        <v>0</v>
      </c>
      <c r="Z96" s="8" t="n">
        <v>0</v>
      </c>
      <c r="AA96" s="8" t="n">
        <v>0</v>
      </c>
      <c r="AB96" s="8" t="n">
        <v>0</v>
      </c>
      <c r="AC96" s="8" t="n">
        <v>0</v>
      </c>
      <c r="AD96" s="8" t="n">
        <v>0</v>
      </c>
      <c r="AE96" s="8" t="n">
        <v>0</v>
      </c>
      <c r="AF96" s="8" t="n">
        <v>12</v>
      </c>
      <c r="AG96" s="8" t="n">
        <v>1.5</v>
      </c>
      <c r="AH96" s="8" t="n">
        <v>0</v>
      </c>
      <c r="AI96" s="8" t="n">
        <v>0</v>
      </c>
      <c r="AJ96" s="8" t="n">
        <v>0</v>
      </c>
      <c r="AK96" s="8" t="n">
        <v>0</v>
      </c>
      <c r="AL96" s="8" t="n">
        <v>0</v>
      </c>
      <c r="AM96" s="8" t="n">
        <v>0</v>
      </c>
      <c r="AN96" s="8" t="n">
        <v>0</v>
      </c>
      <c r="AO96" s="8" t="n">
        <v>0</v>
      </c>
      <c r="AP96" s="8" t="n">
        <v>0</v>
      </c>
      <c r="AQ96" s="8" t="n">
        <v>0</v>
      </c>
      <c r="AR96" s="8" t="n">
        <v>0</v>
      </c>
      <c r="AS96" s="8" t="n">
        <v>4</v>
      </c>
      <c r="AT96" s="8" t="n">
        <v>0</v>
      </c>
      <c r="AU96" s="8" t="n">
        <v>0</v>
      </c>
      <c r="AV96" s="8" t="n">
        <v>0</v>
      </c>
      <c r="AW96" s="8" t="n">
        <v>0</v>
      </c>
      <c r="AX96" s="8" t="n">
        <v>0</v>
      </c>
      <c r="AY96" s="8" t="n">
        <v>0</v>
      </c>
      <c r="AZ96" s="8" t="n">
        <v>3</v>
      </c>
      <c r="BA96" s="8" t="n">
        <v>3</v>
      </c>
      <c r="BB96" s="8" t="n">
        <v>0</v>
      </c>
      <c r="BC96" s="8" t="n">
        <v>0</v>
      </c>
      <c r="BD96" s="8" t="n">
        <v>0</v>
      </c>
      <c r="BE96" s="8" t="n">
        <v>0</v>
      </c>
      <c r="BF96" s="8" t="n">
        <v>0</v>
      </c>
      <c r="BG96" s="8" t="n">
        <v>0</v>
      </c>
      <c r="BH96" s="8" t="n">
        <v>0</v>
      </c>
      <c r="BI96" s="8" t="n">
        <v>0</v>
      </c>
      <c r="BJ96" s="8" t="n">
        <v>0</v>
      </c>
      <c r="BK96" s="8" t="n">
        <v>0</v>
      </c>
      <c r="BL96" s="8" t="n">
        <v>18</v>
      </c>
      <c r="BM96" s="8" t="n">
        <v>0</v>
      </c>
      <c r="BN96" s="8" t="n">
        <v>6</v>
      </c>
      <c r="BO96" s="8" t="n">
        <v>0</v>
      </c>
      <c r="BP96" s="8" t="n">
        <v>0</v>
      </c>
      <c r="BQ96" s="8" t="n">
        <v>0</v>
      </c>
      <c r="BR96" s="8" t="n">
        <v>0</v>
      </c>
      <c r="BS96" s="8" t="n">
        <v>0</v>
      </c>
      <c r="BT96" s="8" t="n">
        <v>0</v>
      </c>
      <c r="BU96" s="8" t="n">
        <v>0</v>
      </c>
      <c r="BV96" s="8" t="n">
        <v>0</v>
      </c>
      <c r="BW96" s="8" t="n">
        <v>4.5</v>
      </c>
      <c r="BX96" s="8" t="n">
        <v>0</v>
      </c>
      <c r="BY96" s="8" t="n">
        <v>0</v>
      </c>
      <c r="BZ96" s="8" t="n">
        <v>0</v>
      </c>
      <c r="CA96" s="8" t="n">
        <v>0</v>
      </c>
      <c r="CB96" s="8" t="n">
        <v>0</v>
      </c>
      <c r="CC96" s="8" t="n">
        <v>0</v>
      </c>
      <c r="CD96" s="8" t="n">
        <v>0</v>
      </c>
      <c r="CE96" s="8" t="n">
        <v>0</v>
      </c>
    </row>
    <row r="97">
      <c r="A97" s="15" t="inlineStr">
        <is>
          <t>2025-11-17</t>
        </is>
      </c>
      <c r="B97" s="11" t="n">
        <v>0</v>
      </c>
      <c r="C97" s="11" t="n">
        <v>0</v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2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  <c r="P97" s="11" t="n">
        <v>0</v>
      </c>
      <c r="Q97" s="11" t="n">
        <v>0</v>
      </c>
      <c r="R97" s="11" t="n">
        <v>10</v>
      </c>
      <c r="S97" s="11" t="n">
        <v>0</v>
      </c>
      <c r="T97" s="11" t="n">
        <v>0</v>
      </c>
      <c r="U97" s="11" t="n">
        <v>0</v>
      </c>
      <c r="V97" s="11" t="n">
        <v>4</v>
      </c>
      <c r="W97" s="11" t="n">
        <v>0</v>
      </c>
      <c r="X97" s="11" t="n">
        <v>0</v>
      </c>
      <c r="Y97" s="11" t="n">
        <v>0</v>
      </c>
      <c r="Z97" s="11" t="n">
        <v>0</v>
      </c>
      <c r="AA97" s="11" t="n">
        <v>0</v>
      </c>
      <c r="AB97" s="11" t="n">
        <v>0</v>
      </c>
      <c r="AC97" s="11" t="n">
        <v>0</v>
      </c>
      <c r="AD97" s="11" t="n">
        <v>0</v>
      </c>
      <c r="AE97" s="11" t="n">
        <v>0</v>
      </c>
      <c r="AF97" s="11" t="n">
        <v>12</v>
      </c>
      <c r="AG97" s="11" t="n">
        <v>1.5</v>
      </c>
      <c r="AH97" s="11" t="n">
        <v>0</v>
      </c>
      <c r="AI97" s="11" t="n">
        <v>0</v>
      </c>
      <c r="AJ97" s="11" t="n">
        <v>0</v>
      </c>
      <c r="AK97" s="11" t="n">
        <v>0</v>
      </c>
      <c r="AL97" s="11" t="n">
        <v>0</v>
      </c>
      <c r="AM97" s="11" t="n">
        <v>0</v>
      </c>
      <c r="AN97" s="11" t="n">
        <v>0</v>
      </c>
      <c r="AO97" s="11" t="n">
        <v>0</v>
      </c>
      <c r="AP97" s="11" t="n">
        <v>0</v>
      </c>
      <c r="AQ97" s="11" t="n">
        <v>0</v>
      </c>
      <c r="AR97" s="11" t="n">
        <v>0</v>
      </c>
      <c r="AS97" s="11" t="n">
        <v>4</v>
      </c>
      <c r="AT97" s="11" t="n">
        <v>0</v>
      </c>
      <c r="AU97" s="11" t="n">
        <v>0</v>
      </c>
      <c r="AV97" s="11" t="n">
        <v>0</v>
      </c>
      <c r="AW97" s="11" t="n">
        <v>0</v>
      </c>
      <c r="AX97" s="11" t="n">
        <v>0</v>
      </c>
      <c r="AY97" s="11" t="n">
        <v>0</v>
      </c>
      <c r="AZ97" s="11" t="n">
        <v>3</v>
      </c>
      <c r="BA97" s="11" t="n">
        <v>3</v>
      </c>
      <c r="BB97" s="11" t="n">
        <v>0</v>
      </c>
      <c r="BC97" s="11" t="n">
        <v>0</v>
      </c>
      <c r="BD97" s="11" t="n">
        <v>0</v>
      </c>
      <c r="BE97" s="11" t="n">
        <v>0</v>
      </c>
      <c r="BF97" s="11" t="n">
        <v>0</v>
      </c>
      <c r="BG97" s="11" t="n">
        <v>0</v>
      </c>
      <c r="BH97" s="11" t="n">
        <v>0</v>
      </c>
      <c r="BI97" s="11" t="n">
        <v>0</v>
      </c>
      <c r="BJ97" s="11" t="n">
        <v>0</v>
      </c>
      <c r="BK97" s="11" t="n">
        <v>0</v>
      </c>
      <c r="BL97" s="11" t="n">
        <v>18</v>
      </c>
      <c r="BM97" s="11" t="n">
        <v>0</v>
      </c>
      <c r="BN97" s="11" t="n">
        <v>6</v>
      </c>
      <c r="BO97" s="11" t="n">
        <v>0</v>
      </c>
      <c r="BP97" s="11" t="n">
        <v>0</v>
      </c>
      <c r="BQ97" s="11" t="n">
        <v>0</v>
      </c>
      <c r="BR97" s="11" t="n">
        <v>0</v>
      </c>
      <c r="BS97" s="11" t="n">
        <v>0</v>
      </c>
      <c r="BT97" s="11" t="n">
        <v>0</v>
      </c>
      <c r="BU97" s="11" t="n">
        <v>0</v>
      </c>
      <c r="BV97" s="11" t="n">
        <v>0</v>
      </c>
      <c r="BW97" s="11" t="n">
        <v>4.5</v>
      </c>
      <c r="BX97" s="11" t="n">
        <v>0</v>
      </c>
      <c r="BY97" s="11" t="n">
        <v>0</v>
      </c>
      <c r="BZ97" s="11" t="n">
        <v>0</v>
      </c>
      <c r="CA97" s="11" t="n">
        <v>0</v>
      </c>
      <c r="CB97" s="11" t="n">
        <v>0</v>
      </c>
      <c r="CC97" s="11" t="n">
        <v>0</v>
      </c>
      <c r="CD97" s="11" t="n">
        <v>0</v>
      </c>
      <c r="CE97" s="11" t="n">
        <v>0</v>
      </c>
    </row>
    <row r="98">
      <c r="A98" s="14" t="inlineStr">
        <is>
          <t>2025-11-18</t>
        </is>
      </c>
      <c r="B98" s="8" t="n">
        <v>0</v>
      </c>
      <c r="C98" s="8" t="n">
        <v>0</v>
      </c>
      <c r="D98" s="8" t="n">
        <v>0</v>
      </c>
      <c r="E98" s="8" t="n">
        <v>0</v>
      </c>
      <c r="F98" s="8" t="n">
        <v>0</v>
      </c>
      <c r="G98" s="8" t="n">
        <v>0</v>
      </c>
      <c r="H98" s="8" t="n">
        <v>0</v>
      </c>
      <c r="I98" s="8" t="n">
        <v>2</v>
      </c>
      <c r="J98" s="8" t="n">
        <v>0</v>
      </c>
      <c r="K98" s="8" t="n">
        <v>0</v>
      </c>
      <c r="L98" s="8" t="n">
        <v>0</v>
      </c>
      <c r="M98" s="8" t="n">
        <v>0</v>
      </c>
      <c r="N98" s="8" t="n">
        <v>0</v>
      </c>
      <c r="O98" s="8" t="n">
        <v>0</v>
      </c>
      <c r="P98" s="8" t="n">
        <v>0</v>
      </c>
      <c r="Q98" s="8" t="n">
        <v>0</v>
      </c>
      <c r="R98" s="8" t="n">
        <v>10</v>
      </c>
      <c r="S98" s="8" t="n">
        <v>0</v>
      </c>
      <c r="T98" s="8" t="n">
        <v>0</v>
      </c>
      <c r="U98" s="8" t="n">
        <v>0</v>
      </c>
      <c r="V98" s="8" t="n">
        <v>4</v>
      </c>
      <c r="W98" s="8" t="n">
        <v>0</v>
      </c>
      <c r="X98" s="8" t="n">
        <v>0</v>
      </c>
      <c r="Y98" s="8" t="n">
        <v>0</v>
      </c>
      <c r="Z98" s="8" t="n">
        <v>0</v>
      </c>
      <c r="AA98" s="8" t="n">
        <v>0</v>
      </c>
      <c r="AB98" s="8" t="n">
        <v>0</v>
      </c>
      <c r="AC98" s="8" t="n">
        <v>0</v>
      </c>
      <c r="AD98" s="8" t="n">
        <v>0</v>
      </c>
      <c r="AE98" s="8" t="n">
        <v>0</v>
      </c>
      <c r="AF98" s="8" t="n">
        <v>12</v>
      </c>
      <c r="AG98" s="8" t="n">
        <v>1.5</v>
      </c>
      <c r="AH98" s="8" t="n">
        <v>0</v>
      </c>
      <c r="AI98" s="8" t="n">
        <v>0</v>
      </c>
      <c r="AJ98" s="8" t="n">
        <v>0</v>
      </c>
      <c r="AK98" s="8" t="n">
        <v>0</v>
      </c>
      <c r="AL98" s="8" t="n">
        <v>0</v>
      </c>
      <c r="AM98" s="8" t="n">
        <v>0</v>
      </c>
      <c r="AN98" s="8" t="n">
        <v>0</v>
      </c>
      <c r="AO98" s="8" t="n">
        <v>0</v>
      </c>
      <c r="AP98" s="8" t="n">
        <v>0</v>
      </c>
      <c r="AQ98" s="8" t="n">
        <v>0</v>
      </c>
      <c r="AR98" s="8" t="n">
        <v>0</v>
      </c>
      <c r="AS98" s="8" t="n">
        <v>4</v>
      </c>
      <c r="AT98" s="8" t="n">
        <v>0</v>
      </c>
      <c r="AU98" s="8" t="n">
        <v>0</v>
      </c>
      <c r="AV98" s="8" t="n">
        <v>0</v>
      </c>
      <c r="AW98" s="8" t="n">
        <v>0</v>
      </c>
      <c r="AX98" s="8" t="n">
        <v>0</v>
      </c>
      <c r="AY98" s="8" t="n">
        <v>0</v>
      </c>
      <c r="AZ98" s="8" t="n">
        <v>3</v>
      </c>
      <c r="BA98" s="8" t="n">
        <v>3</v>
      </c>
      <c r="BB98" s="8" t="n">
        <v>0</v>
      </c>
      <c r="BC98" s="8" t="n">
        <v>0</v>
      </c>
      <c r="BD98" s="8" t="n">
        <v>0</v>
      </c>
      <c r="BE98" s="8" t="n">
        <v>0</v>
      </c>
      <c r="BF98" s="8" t="n">
        <v>0</v>
      </c>
      <c r="BG98" s="8" t="n">
        <v>0</v>
      </c>
      <c r="BH98" s="8" t="n">
        <v>0</v>
      </c>
      <c r="BI98" s="8" t="n">
        <v>0</v>
      </c>
      <c r="BJ98" s="8" t="n">
        <v>0</v>
      </c>
      <c r="BK98" s="8" t="n">
        <v>0</v>
      </c>
      <c r="BL98" s="8" t="n">
        <v>18</v>
      </c>
      <c r="BM98" s="8" t="n">
        <v>0</v>
      </c>
      <c r="BN98" s="8" t="n">
        <v>6</v>
      </c>
      <c r="BO98" s="8" t="n">
        <v>0</v>
      </c>
      <c r="BP98" s="8" t="n">
        <v>0</v>
      </c>
      <c r="BQ98" s="8" t="n">
        <v>0</v>
      </c>
      <c r="BR98" s="8" t="n">
        <v>0</v>
      </c>
      <c r="BS98" s="8" t="n">
        <v>0</v>
      </c>
      <c r="BT98" s="8" t="n">
        <v>0</v>
      </c>
      <c r="BU98" s="8" t="n">
        <v>0</v>
      </c>
      <c r="BV98" s="8" t="n">
        <v>0</v>
      </c>
      <c r="BW98" s="8" t="n">
        <v>4.5</v>
      </c>
      <c r="BX98" s="8" t="n">
        <v>0</v>
      </c>
      <c r="BY98" s="8" t="n">
        <v>0</v>
      </c>
      <c r="BZ98" s="8" t="n">
        <v>0</v>
      </c>
      <c r="CA98" s="8" t="n">
        <v>0</v>
      </c>
      <c r="CB98" s="8" t="n">
        <v>0</v>
      </c>
      <c r="CC98" s="8" t="n">
        <v>0</v>
      </c>
      <c r="CD98" s="8" t="n">
        <v>0</v>
      </c>
      <c r="CE98" s="8" t="n">
        <v>0</v>
      </c>
    </row>
    <row r="99">
      <c r="A99" s="15" t="inlineStr">
        <is>
          <t>2025-11-19</t>
        </is>
      </c>
      <c r="B99" s="11" t="n">
        <v>0</v>
      </c>
      <c r="C99" s="11" t="n">
        <v>0</v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2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  <c r="P99" s="11" t="n">
        <v>0</v>
      </c>
      <c r="Q99" s="11" t="n">
        <v>0</v>
      </c>
      <c r="R99" s="11" t="n">
        <v>10</v>
      </c>
      <c r="S99" s="11" t="n">
        <v>0</v>
      </c>
      <c r="T99" s="11" t="n">
        <v>0</v>
      </c>
      <c r="U99" s="11" t="n">
        <v>0</v>
      </c>
      <c r="V99" s="11" t="n">
        <v>4</v>
      </c>
      <c r="W99" s="11" t="n">
        <v>0</v>
      </c>
      <c r="X99" s="11" t="n">
        <v>0</v>
      </c>
      <c r="Y99" s="11" t="n">
        <v>0</v>
      </c>
      <c r="Z99" s="11" t="n">
        <v>0</v>
      </c>
      <c r="AA99" s="11" t="n">
        <v>0</v>
      </c>
      <c r="AB99" s="11" t="n">
        <v>0</v>
      </c>
      <c r="AC99" s="11" t="n">
        <v>0</v>
      </c>
      <c r="AD99" s="11" t="n">
        <v>0</v>
      </c>
      <c r="AE99" s="11" t="n">
        <v>0</v>
      </c>
      <c r="AF99" s="11" t="n">
        <v>12</v>
      </c>
      <c r="AG99" s="11" t="n">
        <v>1.5</v>
      </c>
      <c r="AH99" s="11" t="n">
        <v>0</v>
      </c>
      <c r="AI99" s="11" t="n">
        <v>0</v>
      </c>
      <c r="AJ99" s="11" t="n">
        <v>0</v>
      </c>
      <c r="AK99" s="11" t="n">
        <v>0</v>
      </c>
      <c r="AL99" s="11" t="n">
        <v>0</v>
      </c>
      <c r="AM99" s="11" t="n">
        <v>0</v>
      </c>
      <c r="AN99" s="11" t="n">
        <v>0</v>
      </c>
      <c r="AO99" s="11" t="n">
        <v>0</v>
      </c>
      <c r="AP99" s="11" t="n">
        <v>0</v>
      </c>
      <c r="AQ99" s="11" t="n">
        <v>0</v>
      </c>
      <c r="AR99" s="11" t="n">
        <v>0</v>
      </c>
      <c r="AS99" s="11" t="n">
        <v>4</v>
      </c>
      <c r="AT99" s="11" t="n">
        <v>0</v>
      </c>
      <c r="AU99" s="11" t="n">
        <v>0</v>
      </c>
      <c r="AV99" s="11" t="n">
        <v>0</v>
      </c>
      <c r="AW99" s="11" t="n">
        <v>0</v>
      </c>
      <c r="AX99" s="11" t="n">
        <v>0</v>
      </c>
      <c r="AY99" s="11" t="n">
        <v>0</v>
      </c>
      <c r="AZ99" s="11" t="n">
        <v>3</v>
      </c>
      <c r="BA99" s="11" t="n">
        <v>3</v>
      </c>
      <c r="BB99" s="11" t="n">
        <v>0</v>
      </c>
      <c r="BC99" s="11" t="n">
        <v>0</v>
      </c>
      <c r="BD99" s="11" t="n">
        <v>0</v>
      </c>
      <c r="BE99" s="11" t="n">
        <v>0</v>
      </c>
      <c r="BF99" s="11" t="n">
        <v>0</v>
      </c>
      <c r="BG99" s="11" t="n">
        <v>0</v>
      </c>
      <c r="BH99" s="11" t="n">
        <v>0</v>
      </c>
      <c r="BI99" s="11" t="n">
        <v>0</v>
      </c>
      <c r="BJ99" s="11" t="n">
        <v>0</v>
      </c>
      <c r="BK99" s="11" t="n">
        <v>0</v>
      </c>
      <c r="BL99" s="11" t="n">
        <v>18</v>
      </c>
      <c r="BM99" s="11" t="n">
        <v>0</v>
      </c>
      <c r="BN99" s="11" t="n">
        <v>6</v>
      </c>
      <c r="BO99" s="11" t="n">
        <v>0</v>
      </c>
      <c r="BP99" s="11" t="n">
        <v>0</v>
      </c>
      <c r="BQ99" s="11" t="n">
        <v>0</v>
      </c>
      <c r="BR99" s="11" t="n">
        <v>0</v>
      </c>
      <c r="BS99" s="11" t="n">
        <v>0</v>
      </c>
      <c r="BT99" s="11" t="n">
        <v>0</v>
      </c>
      <c r="BU99" s="11" t="n">
        <v>0</v>
      </c>
      <c r="BV99" s="11" t="n">
        <v>0</v>
      </c>
      <c r="BW99" s="11" t="n">
        <v>4.5</v>
      </c>
      <c r="BX99" s="11" t="n">
        <v>0</v>
      </c>
      <c r="BY99" s="11" t="n">
        <v>0</v>
      </c>
      <c r="BZ99" s="11" t="n">
        <v>0</v>
      </c>
      <c r="CA99" s="11" t="n">
        <v>0</v>
      </c>
      <c r="CB99" s="11" t="n">
        <v>0</v>
      </c>
      <c r="CC99" s="11" t="n">
        <v>0</v>
      </c>
      <c r="CD99" s="11" t="n">
        <v>0</v>
      </c>
      <c r="CE99" s="11" t="n">
        <v>0</v>
      </c>
    </row>
    <row r="100">
      <c r="A100" s="14" t="inlineStr">
        <is>
          <t>2025-11-20</t>
        </is>
      </c>
      <c r="B100" s="8" t="n">
        <v>0</v>
      </c>
      <c r="C100" s="8" t="n">
        <v>0</v>
      </c>
      <c r="D100" s="8" t="n">
        <v>0</v>
      </c>
      <c r="E100" s="8" t="n">
        <v>0</v>
      </c>
      <c r="F100" s="8" t="n">
        <v>0</v>
      </c>
      <c r="G100" s="8" t="n">
        <v>0</v>
      </c>
      <c r="H100" s="8" t="n">
        <v>0</v>
      </c>
      <c r="I100" s="8" t="n">
        <v>2</v>
      </c>
      <c r="J100" s="8" t="n">
        <v>0</v>
      </c>
      <c r="K100" s="8" t="n">
        <v>0</v>
      </c>
      <c r="L100" s="8" t="n">
        <v>0</v>
      </c>
      <c r="M100" s="8" t="n">
        <v>0</v>
      </c>
      <c r="N100" s="8" t="n">
        <v>0</v>
      </c>
      <c r="O100" s="8" t="n">
        <v>0</v>
      </c>
      <c r="P100" s="8" t="n">
        <v>0</v>
      </c>
      <c r="Q100" s="8" t="n">
        <v>0</v>
      </c>
      <c r="R100" s="8" t="n">
        <v>10</v>
      </c>
      <c r="S100" s="8" t="n">
        <v>0</v>
      </c>
      <c r="T100" s="8" t="n">
        <v>0</v>
      </c>
      <c r="U100" s="8" t="n">
        <v>0</v>
      </c>
      <c r="V100" s="8" t="n">
        <v>4</v>
      </c>
      <c r="W100" s="8" t="n">
        <v>0</v>
      </c>
      <c r="X100" s="8" t="n">
        <v>0</v>
      </c>
      <c r="Y100" s="8" t="n">
        <v>0</v>
      </c>
      <c r="Z100" s="8" t="n">
        <v>0</v>
      </c>
      <c r="AA100" s="8" t="n">
        <v>0</v>
      </c>
      <c r="AB100" s="8" t="n">
        <v>0</v>
      </c>
      <c r="AC100" s="8" t="n">
        <v>0</v>
      </c>
      <c r="AD100" s="8" t="n">
        <v>0</v>
      </c>
      <c r="AE100" s="8" t="n">
        <v>0</v>
      </c>
      <c r="AF100" s="8" t="n">
        <v>12</v>
      </c>
      <c r="AG100" s="8" t="n">
        <v>1.5</v>
      </c>
      <c r="AH100" s="8" t="n">
        <v>0</v>
      </c>
      <c r="AI100" s="8" t="n">
        <v>0</v>
      </c>
      <c r="AJ100" s="8" t="n">
        <v>0</v>
      </c>
      <c r="AK100" s="8" t="n">
        <v>0</v>
      </c>
      <c r="AL100" s="8" t="n">
        <v>0</v>
      </c>
      <c r="AM100" s="8" t="n">
        <v>0</v>
      </c>
      <c r="AN100" s="8" t="n">
        <v>0</v>
      </c>
      <c r="AO100" s="8" t="n">
        <v>0</v>
      </c>
      <c r="AP100" s="8" t="n">
        <v>0</v>
      </c>
      <c r="AQ100" s="8" t="n">
        <v>0</v>
      </c>
      <c r="AR100" s="8" t="n">
        <v>0</v>
      </c>
      <c r="AS100" s="8" t="n">
        <v>0</v>
      </c>
      <c r="AT100" s="8" t="n">
        <v>0</v>
      </c>
      <c r="AU100" s="8" t="n">
        <v>0</v>
      </c>
      <c r="AV100" s="8" t="n">
        <v>0</v>
      </c>
      <c r="AW100" s="8" t="n">
        <v>0</v>
      </c>
      <c r="AX100" s="8" t="n">
        <v>0</v>
      </c>
      <c r="AY100" s="8" t="n">
        <v>0</v>
      </c>
      <c r="AZ100" s="8" t="n">
        <v>3</v>
      </c>
      <c r="BA100" s="8" t="n">
        <v>3</v>
      </c>
      <c r="BB100" s="8" t="n">
        <v>0</v>
      </c>
      <c r="BC100" s="8" t="n">
        <v>0</v>
      </c>
      <c r="BD100" s="8" t="n">
        <v>0</v>
      </c>
      <c r="BE100" s="8" t="n">
        <v>0</v>
      </c>
      <c r="BF100" s="8" t="n">
        <v>0</v>
      </c>
      <c r="BG100" s="8" t="n">
        <v>0</v>
      </c>
      <c r="BH100" s="8" t="n">
        <v>0</v>
      </c>
      <c r="BI100" s="8" t="n">
        <v>0</v>
      </c>
      <c r="BJ100" s="8" t="n">
        <v>0</v>
      </c>
      <c r="BK100" s="8" t="n">
        <v>0</v>
      </c>
      <c r="BL100" s="8" t="n">
        <v>18</v>
      </c>
      <c r="BM100" s="8" t="n">
        <v>0</v>
      </c>
      <c r="BN100" s="8" t="n">
        <v>6</v>
      </c>
      <c r="BO100" s="8" t="n">
        <v>0</v>
      </c>
      <c r="BP100" s="8" t="n">
        <v>0</v>
      </c>
      <c r="BQ100" s="8" t="n">
        <v>0</v>
      </c>
      <c r="BR100" s="8" t="n">
        <v>0</v>
      </c>
      <c r="BS100" s="8" t="n">
        <v>0</v>
      </c>
      <c r="BT100" s="8" t="n">
        <v>0</v>
      </c>
      <c r="BU100" s="8" t="n">
        <v>0</v>
      </c>
      <c r="BV100" s="8" t="n">
        <v>0</v>
      </c>
      <c r="BW100" s="8" t="n">
        <v>4.5</v>
      </c>
      <c r="BX100" s="8" t="n">
        <v>0</v>
      </c>
      <c r="BY100" s="8" t="n">
        <v>0</v>
      </c>
      <c r="BZ100" s="8" t="n">
        <v>0</v>
      </c>
      <c r="CA100" s="8" t="n">
        <v>0</v>
      </c>
      <c r="CB100" s="8" t="n">
        <v>0</v>
      </c>
      <c r="CC100" s="8" t="n">
        <v>0</v>
      </c>
      <c r="CD100" s="8" t="n">
        <v>0</v>
      </c>
      <c r="CE100" s="8" t="n">
        <v>0</v>
      </c>
    </row>
    <row r="101">
      <c r="A101" s="15" t="inlineStr">
        <is>
          <t>2025-11-21</t>
        </is>
      </c>
      <c r="B101" s="11" t="n">
        <v>0</v>
      </c>
      <c r="C101" s="11" t="n">
        <v>0</v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2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10</v>
      </c>
      <c r="S101" s="11" t="n">
        <v>0</v>
      </c>
      <c r="T101" s="11" t="n">
        <v>0</v>
      </c>
      <c r="U101" s="11" t="n">
        <v>0</v>
      </c>
      <c r="V101" s="11" t="n">
        <v>4</v>
      </c>
      <c r="W101" s="11" t="n">
        <v>0</v>
      </c>
      <c r="X101" s="11" t="n">
        <v>0</v>
      </c>
      <c r="Y101" s="11" t="n">
        <v>0</v>
      </c>
      <c r="Z101" s="11" t="n">
        <v>0</v>
      </c>
      <c r="AA101" s="11" t="n">
        <v>0</v>
      </c>
      <c r="AB101" s="11" t="n">
        <v>0</v>
      </c>
      <c r="AC101" s="11" t="n">
        <v>0</v>
      </c>
      <c r="AD101" s="11" t="n">
        <v>0</v>
      </c>
      <c r="AE101" s="11" t="n">
        <v>0</v>
      </c>
      <c r="AF101" s="11" t="n">
        <v>12</v>
      </c>
      <c r="AG101" s="11" t="n">
        <v>1.5</v>
      </c>
      <c r="AH101" s="11" t="n">
        <v>0</v>
      </c>
      <c r="AI101" s="11" t="n">
        <v>0</v>
      </c>
      <c r="AJ101" s="11" t="n">
        <v>0</v>
      </c>
      <c r="AK101" s="11" t="n">
        <v>0</v>
      </c>
      <c r="AL101" s="11" t="n">
        <v>0</v>
      </c>
      <c r="AM101" s="11" t="n">
        <v>0</v>
      </c>
      <c r="AN101" s="11" t="n">
        <v>0</v>
      </c>
      <c r="AO101" s="11" t="n">
        <v>0</v>
      </c>
      <c r="AP101" s="11" t="n">
        <v>0</v>
      </c>
      <c r="AQ101" s="11" t="n">
        <v>0</v>
      </c>
      <c r="AR101" s="11" t="n">
        <v>0</v>
      </c>
      <c r="AS101" s="11" t="n">
        <v>0</v>
      </c>
      <c r="AT101" s="11" t="n">
        <v>0</v>
      </c>
      <c r="AU101" s="11" t="n">
        <v>0</v>
      </c>
      <c r="AV101" s="11" t="n">
        <v>0</v>
      </c>
      <c r="AW101" s="11" t="n">
        <v>0</v>
      </c>
      <c r="AX101" s="11" t="n">
        <v>0</v>
      </c>
      <c r="AY101" s="11" t="n">
        <v>0</v>
      </c>
      <c r="AZ101" s="11" t="n">
        <v>3</v>
      </c>
      <c r="BA101" s="11" t="n">
        <v>3</v>
      </c>
      <c r="BB101" s="11" t="n">
        <v>0</v>
      </c>
      <c r="BC101" s="11" t="n">
        <v>0</v>
      </c>
      <c r="BD101" s="11" t="n">
        <v>0</v>
      </c>
      <c r="BE101" s="11" t="n">
        <v>0</v>
      </c>
      <c r="BF101" s="11" t="n">
        <v>0</v>
      </c>
      <c r="BG101" s="11" t="n">
        <v>0</v>
      </c>
      <c r="BH101" s="11" t="n">
        <v>0</v>
      </c>
      <c r="BI101" s="11" t="n">
        <v>0</v>
      </c>
      <c r="BJ101" s="11" t="n">
        <v>0</v>
      </c>
      <c r="BK101" s="11" t="n">
        <v>0</v>
      </c>
      <c r="BL101" s="11" t="n">
        <v>18</v>
      </c>
      <c r="BM101" s="11" t="n">
        <v>0</v>
      </c>
      <c r="BN101" s="11" t="n">
        <v>6</v>
      </c>
      <c r="BO101" s="11" t="n">
        <v>0</v>
      </c>
      <c r="BP101" s="11" t="n">
        <v>0</v>
      </c>
      <c r="BQ101" s="11" t="n">
        <v>0</v>
      </c>
      <c r="BR101" s="11" t="n">
        <v>0</v>
      </c>
      <c r="BS101" s="11" t="n">
        <v>0</v>
      </c>
      <c r="BT101" s="11" t="n">
        <v>0</v>
      </c>
      <c r="BU101" s="11" t="n">
        <v>0</v>
      </c>
      <c r="BV101" s="11" t="n">
        <v>0</v>
      </c>
      <c r="BW101" s="11" t="n">
        <v>4.5</v>
      </c>
      <c r="BX101" s="11" t="n">
        <v>0</v>
      </c>
      <c r="BY101" s="11" t="n">
        <v>0</v>
      </c>
      <c r="BZ101" s="11" t="n">
        <v>0</v>
      </c>
      <c r="CA101" s="11" t="n">
        <v>0</v>
      </c>
      <c r="CB101" s="11" t="n">
        <v>0</v>
      </c>
      <c r="CC101" s="11" t="n">
        <v>0</v>
      </c>
      <c r="CD101" s="11" t="n">
        <v>0</v>
      </c>
      <c r="CE101" s="11" t="n">
        <v>0</v>
      </c>
    </row>
    <row r="102">
      <c r="A102" s="14" t="inlineStr">
        <is>
          <t>2025-11-24</t>
        </is>
      </c>
      <c r="B102" s="8" t="n">
        <v>0</v>
      </c>
      <c r="C102" s="8" t="n">
        <v>0</v>
      </c>
      <c r="D102" s="8" t="n">
        <v>0</v>
      </c>
      <c r="E102" s="8" t="n">
        <v>0</v>
      </c>
      <c r="F102" s="8" t="n">
        <v>0</v>
      </c>
      <c r="G102" s="8" t="n">
        <v>0</v>
      </c>
      <c r="H102" s="8" t="n">
        <v>0</v>
      </c>
      <c r="I102" s="8" t="n">
        <v>3</v>
      </c>
      <c r="J102" s="8" t="n">
        <v>0</v>
      </c>
      <c r="K102" s="8" t="n">
        <v>0</v>
      </c>
      <c r="L102" s="8" t="n">
        <v>0</v>
      </c>
      <c r="M102" s="8" t="n">
        <v>0</v>
      </c>
      <c r="N102" s="8" t="n">
        <v>0</v>
      </c>
      <c r="O102" s="8" t="n">
        <v>0</v>
      </c>
      <c r="P102" s="8" t="n">
        <v>0</v>
      </c>
      <c r="Q102" s="8" t="n">
        <v>0</v>
      </c>
      <c r="R102" s="8" t="n">
        <v>10</v>
      </c>
      <c r="S102" s="8" t="n">
        <v>0</v>
      </c>
      <c r="T102" s="8" t="n">
        <v>0</v>
      </c>
      <c r="U102" s="8" t="n">
        <v>0</v>
      </c>
      <c r="V102" s="8" t="n">
        <v>4</v>
      </c>
      <c r="W102" s="8" t="n">
        <v>0</v>
      </c>
      <c r="X102" s="8" t="n">
        <v>0</v>
      </c>
      <c r="Y102" s="8" t="n">
        <v>0</v>
      </c>
      <c r="Z102" s="8" t="n">
        <v>0</v>
      </c>
      <c r="AA102" s="8" t="n">
        <v>0</v>
      </c>
      <c r="AB102" s="8" t="n">
        <v>0</v>
      </c>
      <c r="AC102" s="8" t="n">
        <v>0</v>
      </c>
      <c r="AD102" s="8" t="n">
        <v>0</v>
      </c>
      <c r="AE102" s="8" t="n">
        <v>0</v>
      </c>
      <c r="AF102" s="8" t="n">
        <v>12</v>
      </c>
      <c r="AG102" s="8" t="n">
        <v>1.5</v>
      </c>
      <c r="AH102" s="8" t="n">
        <v>0</v>
      </c>
      <c r="AI102" s="8" t="n">
        <v>0</v>
      </c>
      <c r="AJ102" s="8" t="n">
        <v>0</v>
      </c>
      <c r="AK102" s="8" t="n">
        <v>0</v>
      </c>
      <c r="AL102" s="8" t="n">
        <v>0</v>
      </c>
      <c r="AM102" s="8" t="n">
        <v>0</v>
      </c>
      <c r="AN102" s="8" t="n">
        <v>0</v>
      </c>
      <c r="AO102" s="8" t="n">
        <v>0</v>
      </c>
      <c r="AP102" s="8" t="n">
        <v>0</v>
      </c>
      <c r="AQ102" s="8" t="n">
        <v>0</v>
      </c>
      <c r="AR102" s="8" t="n">
        <v>0</v>
      </c>
      <c r="AS102" s="8" t="n">
        <v>0</v>
      </c>
      <c r="AT102" s="8" t="n">
        <v>0</v>
      </c>
      <c r="AU102" s="8" t="n">
        <v>0</v>
      </c>
      <c r="AV102" s="8" t="n">
        <v>0</v>
      </c>
      <c r="AW102" s="8" t="n">
        <v>0</v>
      </c>
      <c r="AX102" s="8" t="n">
        <v>0</v>
      </c>
      <c r="AY102" s="8" t="n">
        <v>0</v>
      </c>
      <c r="AZ102" s="8" t="n">
        <v>3</v>
      </c>
      <c r="BA102" s="8" t="n">
        <v>3</v>
      </c>
      <c r="BB102" s="8" t="n">
        <v>0</v>
      </c>
      <c r="BC102" s="8" t="n">
        <v>0</v>
      </c>
      <c r="BD102" s="8" t="n">
        <v>0</v>
      </c>
      <c r="BE102" s="8" t="n">
        <v>0</v>
      </c>
      <c r="BF102" s="8" t="n">
        <v>0</v>
      </c>
      <c r="BG102" s="8" t="n">
        <v>0</v>
      </c>
      <c r="BH102" s="8" t="n">
        <v>0</v>
      </c>
      <c r="BI102" s="8" t="n">
        <v>0</v>
      </c>
      <c r="BJ102" s="8" t="n">
        <v>0</v>
      </c>
      <c r="BK102" s="8" t="n">
        <v>0</v>
      </c>
      <c r="BL102" s="8" t="n">
        <v>18</v>
      </c>
      <c r="BM102" s="8" t="n">
        <v>0</v>
      </c>
      <c r="BN102" s="8" t="n">
        <v>11</v>
      </c>
      <c r="BO102" s="8" t="n">
        <v>0</v>
      </c>
      <c r="BP102" s="8" t="n">
        <v>0</v>
      </c>
      <c r="BQ102" s="8" t="n">
        <v>0</v>
      </c>
      <c r="BR102" s="8" t="n">
        <v>0</v>
      </c>
      <c r="BS102" s="8" t="n">
        <v>0</v>
      </c>
      <c r="BT102" s="8" t="n">
        <v>0</v>
      </c>
      <c r="BU102" s="8" t="n">
        <v>0</v>
      </c>
      <c r="BV102" s="8" t="n">
        <v>0</v>
      </c>
      <c r="BW102" s="8" t="n">
        <v>4.5</v>
      </c>
      <c r="BX102" s="8" t="n">
        <v>0</v>
      </c>
      <c r="BY102" s="8" t="n">
        <v>0</v>
      </c>
      <c r="BZ102" s="8" t="n">
        <v>0</v>
      </c>
      <c r="CA102" s="8" t="n">
        <v>0</v>
      </c>
      <c r="CB102" s="8" t="n">
        <v>0</v>
      </c>
      <c r="CC102" s="8" t="n">
        <v>0</v>
      </c>
      <c r="CD102" s="8" t="n">
        <v>0</v>
      </c>
      <c r="CE102" s="8" t="n">
        <v>0</v>
      </c>
    </row>
    <row r="103">
      <c r="A103" s="15" t="inlineStr">
        <is>
          <t>2025-11-25</t>
        </is>
      </c>
      <c r="B103" s="11" t="n">
        <v>0</v>
      </c>
      <c r="C103" s="11" t="n">
        <v>0</v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3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10</v>
      </c>
      <c r="S103" s="11" t="n">
        <v>0</v>
      </c>
      <c r="T103" s="11" t="n">
        <v>0</v>
      </c>
      <c r="U103" s="11" t="n">
        <v>0</v>
      </c>
      <c r="V103" s="11" t="n">
        <v>4</v>
      </c>
      <c r="W103" s="11" t="n">
        <v>0</v>
      </c>
      <c r="X103" s="11" t="n">
        <v>0</v>
      </c>
      <c r="Y103" s="11" t="n">
        <v>0</v>
      </c>
      <c r="Z103" s="11" t="n">
        <v>0</v>
      </c>
      <c r="AA103" s="11" t="n">
        <v>0</v>
      </c>
      <c r="AB103" s="11" t="n">
        <v>0</v>
      </c>
      <c r="AC103" s="11" t="n">
        <v>0</v>
      </c>
      <c r="AD103" s="11" t="n">
        <v>0</v>
      </c>
      <c r="AE103" s="11" t="n">
        <v>0</v>
      </c>
      <c r="AF103" s="11" t="n">
        <v>12</v>
      </c>
      <c r="AG103" s="11" t="n">
        <v>1.5</v>
      </c>
      <c r="AH103" s="11" t="n">
        <v>0</v>
      </c>
      <c r="AI103" s="11" t="n">
        <v>0</v>
      </c>
      <c r="AJ103" s="11" t="n">
        <v>0</v>
      </c>
      <c r="AK103" s="11" t="n">
        <v>0</v>
      </c>
      <c r="AL103" s="11" t="n">
        <v>0</v>
      </c>
      <c r="AM103" s="11" t="n">
        <v>0</v>
      </c>
      <c r="AN103" s="11" t="n">
        <v>0</v>
      </c>
      <c r="AO103" s="11" t="n">
        <v>0</v>
      </c>
      <c r="AP103" s="11" t="n">
        <v>0</v>
      </c>
      <c r="AQ103" s="11" t="n">
        <v>0</v>
      </c>
      <c r="AR103" s="11" t="n">
        <v>0</v>
      </c>
      <c r="AS103" s="11" t="n">
        <v>0</v>
      </c>
      <c r="AT103" s="11" t="n">
        <v>0</v>
      </c>
      <c r="AU103" s="11" t="n">
        <v>0</v>
      </c>
      <c r="AV103" s="11" t="n">
        <v>0</v>
      </c>
      <c r="AW103" s="11" t="n">
        <v>0</v>
      </c>
      <c r="AX103" s="11" t="n">
        <v>0</v>
      </c>
      <c r="AY103" s="11" t="n">
        <v>0</v>
      </c>
      <c r="AZ103" s="11" t="n">
        <v>3</v>
      </c>
      <c r="BA103" s="11" t="n">
        <v>3</v>
      </c>
      <c r="BB103" s="11" t="n">
        <v>0</v>
      </c>
      <c r="BC103" s="11" t="n">
        <v>0</v>
      </c>
      <c r="BD103" s="11" t="n">
        <v>0</v>
      </c>
      <c r="BE103" s="11" t="n">
        <v>0</v>
      </c>
      <c r="BF103" s="11" t="n">
        <v>0</v>
      </c>
      <c r="BG103" s="11" t="n">
        <v>0</v>
      </c>
      <c r="BH103" s="11" t="n">
        <v>0</v>
      </c>
      <c r="BI103" s="11" t="n">
        <v>0</v>
      </c>
      <c r="BJ103" s="11" t="n">
        <v>0</v>
      </c>
      <c r="BK103" s="11" t="n">
        <v>0</v>
      </c>
      <c r="BL103" s="11" t="n">
        <v>18</v>
      </c>
      <c r="BM103" s="11" t="n">
        <v>0</v>
      </c>
      <c r="BN103" s="11" t="n">
        <v>11</v>
      </c>
      <c r="BO103" s="11" t="n">
        <v>0</v>
      </c>
      <c r="BP103" s="11" t="n">
        <v>0</v>
      </c>
      <c r="BQ103" s="11" t="n">
        <v>0</v>
      </c>
      <c r="BR103" s="11" t="n">
        <v>0</v>
      </c>
      <c r="BS103" s="11" t="n">
        <v>0</v>
      </c>
      <c r="BT103" s="11" t="n">
        <v>0</v>
      </c>
      <c r="BU103" s="11" t="n">
        <v>0</v>
      </c>
      <c r="BV103" s="11" t="n">
        <v>0</v>
      </c>
      <c r="BW103" s="11" t="n">
        <v>4.5</v>
      </c>
      <c r="BX103" s="11" t="n">
        <v>0</v>
      </c>
      <c r="BY103" s="11" t="n">
        <v>0</v>
      </c>
      <c r="BZ103" s="11" t="n">
        <v>0</v>
      </c>
      <c r="CA103" s="11" t="n">
        <v>0</v>
      </c>
      <c r="CB103" s="11" t="n">
        <v>0</v>
      </c>
      <c r="CC103" s="11" t="n">
        <v>0</v>
      </c>
      <c r="CD103" s="11" t="n">
        <v>0</v>
      </c>
      <c r="CE103" s="11" t="n">
        <v>0</v>
      </c>
    </row>
    <row r="104">
      <c r="A104" s="14" t="inlineStr">
        <is>
          <t>2025-11-26</t>
        </is>
      </c>
      <c r="B104" s="8" t="n">
        <v>0</v>
      </c>
      <c r="C104" s="8" t="n">
        <v>0</v>
      </c>
      <c r="D104" s="8" t="n">
        <v>0</v>
      </c>
      <c r="E104" s="8" t="n">
        <v>0</v>
      </c>
      <c r="F104" s="8" t="n">
        <v>0</v>
      </c>
      <c r="G104" s="8" t="n">
        <v>0</v>
      </c>
      <c r="H104" s="8" t="n">
        <v>0</v>
      </c>
      <c r="I104" s="8" t="n">
        <v>3</v>
      </c>
      <c r="J104" s="8" t="n">
        <v>0</v>
      </c>
      <c r="K104" s="8" t="n">
        <v>0</v>
      </c>
      <c r="L104" s="8" t="n">
        <v>0</v>
      </c>
      <c r="M104" s="8" t="n">
        <v>0</v>
      </c>
      <c r="N104" s="8" t="n">
        <v>0</v>
      </c>
      <c r="O104" s="8" t="n">
        <v>0</v>
      </c>
      <c r="P104" s="8" t="n">
        <v>0</v>
      </c>
      <c r="Q104" s="8" t="n">
        <v>0</v>
      </c>
      <c r="R104" s="8" t="n">
        <v>10</v>
      </c>
      <c r="S104" s="8" t="n">
        <v>0</v>
      </c>
      <c r="T104" s="8" t="n">
        <v>0</v>
      </c>
      <c r="U104" s="8" t="n">
        <v>0</v>
      </c>
      <c r="V104" s="8" t="n">
        <v>4</v>
      </c>
      <c r="W104" s="8" t="n">
        <v>0</v>
      </c>
      <c r="X104" s="8" t="n">
        <v>0</v>
      </c>
      <c r="Y104" s="8" t="n">
        <v>0</v>
      </c>
      <c r="Z104" s="8" t="n">
        <v>0</v>
      </c>
      <c r="AA104" s="8" t="n">
        <v>0</v>
      </c>
      <c r="AB104" s="8" t="n">
        <v>0</v>
      </c>
      <c r="AC104" s="8" t="n">
        <v>0</v>
      </c>
      <c r="AD104" s="8" t="n">
        <v>0</v>
      </c>
      <c r="AE104" s="8" t="n">
        <v>0</v>
      </c>
      <c r="AF104" s="8" t="n">
        <v>12</v>
      </c>
      <c r="AG104" s="8" t="n">
        <v>1.5</v>
      </c>
      <c r="AH104" s="8" t="n">
        <v>0</v>
      </c>
      <c r="AI104" s="8" t="n">
        <v>0</v>
      </c>
      <c r="AJ104" s="8" t="n">
        <v>0</v>
      </c>
      <c r="AK104" s="8" t="n">
        <v>0</v>
      </c>
      <c r="AL104" s="8" t="n">
        <v>0</v>
      </c>
      <c r="AM104" s="8" t="n">
        <v>0</v>
      </c>
      <c r="AN104" s="8" t="n">
        <v>0</v>
      </c>
      <c r="AO104" s="8" t="n">
        <v>0</v>
      </c>
      <c r="AP104" s="8" t="n">
        <v>0</v>
      </c>
      <c r="AQ104" s="8" t="n">
        <v>1</v>
      </c>
      <c r="AR104" s="8" t="n">
        <v>0</v>
      </c>
      <c r="AS104" s="8" t="n">
        <v>0</v>
      </c>
      <c r="AT104" s="8" t="n">
        <v>0</v>
      </c>
      <c r="AU104" s="8" t="n">
        <v>0</v>
      </c>
      <c r="AV104" s="8" t="n">
        <v>0</v>
      </c>
      <c r="AW104" s="8" t="n">
        <v>0</v>
      </c>
      <c r="AX104" s="8" t="n">
        <v>0</v>
      </c>
      <c r="AY104" s="8" t="n">
        <v>0</v>
      </c>
      <c r="AZ104" s="8" t="n">
        <v>3</v>
      </c>
      <c r="BA104" s="8" t="n">
        <v>3</v>
      </c>
      <c r="BB104" s="8" t="n">
        <v>0</v>
      </c>
      <c r="BC104" s="8" t="n">
        <v>0</v>
      </c>
      <c r="BD104" s="8" t="n">
        <v>0</v>
      </c>
      <c r="BE104" s="8" t="n">
        <v>0</v>
      </c>
      <c r="BF104" s="8" t="n">
        <v>0</v>
      </c>
      <c r="BG104" s="8" t="n">
        <v>0</v>
      </c>
      <c r="BH104" s="8" t="n">
        <v>0</v>
      </c>
      <c r="BI104" s="8" t="n">
        <v>0</v>
      </c>
      <c r="BJ104" s="8" t="n">
        <v>0</v>
      </c>
      <c r="BK104" s="8" t="n">
        <v>0</v>
      </c>
      <c r="BL104" s="8" t="n">
        <v>18</v>
      </c>
      <c r="BM104" s="8" t="n">
        <v>0</v>
      </c>
      <c r="BN104" s="8" t="n">
        <v>11</v>
      </c>
      <c r="BO104" s="8" t="n">
        <v>0</v>
      </c>
      <c r="BP104" s="8" t="n">
        <v>0</v>
      </c>
      <c r="BQ104" s="8" t="n">
        <v>0</v>
      </c>
      <c r="BR104" s="8" t="n">
        <v>0</v>
      </c>
      <c r="BS104" s="8" t="n">
        <v>0</v>
      </c>
      <c r="BT104" s="8" t="n">
        <v>0</v>
      </c>
      <c r="BU104" s="8" t="n">
        <v>0</v>
      </c>
      <c r="BV104" s="8" t="n">
        <v>0</v>
      </c>
      <c r="BW104" s="8" t="n">
        <v>4.5</v>
      </c>
      <c r="BX104" s="8" t="n">
        <v>0</v>
      </c>
      <c r="BY104" s="8" t="n">
        <v>0</v>
      </c>
      <c r="BZ104" s="8" t="n">
        <v>0</v>
      </c>
      <c r="CA104" s="8" t="n">
        <v>0</v>
      </c>
      <c r="CB104" s="8" t="n">
        <v>0</v>
      </c>
      <c r="CC104" s="8" t="n">
        <v>0</v>
      </c>
      <c r="CD104" s="8" t="n">
        <v>0</v>
      </c>
      <c r="CE104" s="8" t="n">
        <v>0</v>
      </c>
    </row>
    <row r="105">
      <c r="A105" s="15" t="inlineStr">
        <is>
          <t>2025-11-27</t>
        </is>
      </c>
      <c r="B105" s="11" t="n">
        <v>0</v>
      </c>
      <c r="C105" s="11" t="n">
        <v>0</v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3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10</v>
      </c>
      <c r="S105" s="11" t="n">
        <v>0</v>
      </c>
      <c r="T105" s="11" t="n">
        <v>0</v>
      </c>
      <c r="U105" s="11" t="n">
        <v>0</v>
      </c>
      <c r="V105" s="11" t="n">
        <v>4</v>
      </c>
      <c r="W105" s="11" t="n">
        <v>0</v>
      </c>
      <c r="X105" s="11" t="n">
        <v>0</v>
      </c>
      <c r="Y105" s="11" t="n">
        <v>0</v>
      </c>
      <c r="Z105" s="11" t="n">
        <v>0</v>
      </c>
      <c r="AA105" s="11" t="n">
        <v>0</v>
      </c>
      <c r="AB105" s="11" t="n">
        <v>0</v>
      </c>
      <c r="AC105" s="11" t="n">
        <v>0</v>
      </c>
      <c r="AD105" s="11" t="n">
        <v>0</v>
      </c>
      <c r="AE105" s="11" t="n">
        <v>0</v>
      </c>
      <c r="AF105" s="11" t="n">
        <v>12</v>
      </c>
      <c r="AG105" s="11" t="n">
        <v>1.5</v>
      </c>
      <c r="AH105" s="11" t="n">
        <v>0</v>
      </c>
      <c r="AI105" s="11" t="n">
        <v>0</v>
      </c>
      <c r="AJ105" s="11" t="n">
        <v>0</v>
      </c>
      <c r="AK105" s="11" t="n">
        <v>0</v>
      </c>
      <c r="AL105" s="11" t="n">
        <v>0</v>
      </c>
      <c r="AM105" s="11" t="n">
        <v>0</v>
      </c>
      <c r="AN105" s="11" t="n">
        <v>0</v>
      </c>
      <c r="AO105" s="11" t="n">
        <v>0</v>
      </c>
      <c r="AP105" s="11" t="n">
        <v>0</v>
      </c>
      <c r="AQ105" s="11" t="n">
        <v>1</v>
      </c>
      <c r="AR105" s="11" t="n">
        <v>0</v>
      </c>
      <c r="AS105" s="11" t="n">
        <v>0</v>
      </c>
      <c r="AT105" s="11" t="n">
        <v>0</v>
      </c>
      <c r="AU105" s="11" t="n">
        <v>0</v>
      </c>
      <c r="AV105" s="11" t="n">
        <v>0</v>
      </c>
      <c r="AW105" s="11" t="n">
        <v>0</v>
      </c>
      <c r="AX105" s="11" t="n">
        <v>0</v>
      </c>
      <c r="AY105" s="11" t="n">
        <v>0</v>
      </c>
      <c r="AZ105" s="11" t="n">
        <v>3</v>
      </c>
      <c r="BA105" s="11" t="n">
        <v>3</v>
      </c>
      <c r="BB105" s="11" t="n">
        <v>0</v>
      </c>
      <c r="BC105" s="11" t="n">
        <v>0</v>
      </c>
      <c r="BD105" s="11" t="n">
        <v>0</v>
      </c>
      <c r="BE105" s="11" t="n">
        <v>0</v>
      </c>
      <c r="BF105" s="11" t="n">
        <v>0</v>
      </c>
      <c r="BG105" s="11" t="n">
        <v>0</v>
      </c>
      <c r="BH105" s="11" t="n">
        <v>0</v>
      </c>
      <c r="BI105" s="11" t="n">
        <v>0</v>
      </c>
      <c r="BJ105" s="11" t="n">
        <v>0</v>
      </c>
      <c r="BK105" s="11" t="n">
        <v>0</v>
      </c>
      <c r="BL105" s="11" t="n">
        <v>18</v>
      </c>
      <c r="BM105" s="11" t="n">
        <v>0</v>
      </c>
      <c r="BN105" s="11" t="n">
        <v>11</v>
      </c>
      <c r="BO105" s="11" t="n">
        <v>0</v>
      </c>
      <c r="BP105" s="11" t="n">
        <v>0</v>
      </c>
      <c r="BQ105" s="11" t="n">
        <v>0</v>
      </c>
      <c r="BR105" s="11" t="n">
        <v>0</v>
      </c>
      <c r="BS105" s="11" t="n">
        <v>0</v>
      </c>
      <c r="BT105" s="11" t="n">
        <v>0</v>
      </c>
      <c r="BU105" s="11" t="n">
        <v>0</v>
      </c>
      <c r="BV105" s="11" t="n">
        <v>0</v>
      </c>
      <c r="BW105" s="11" t="n">
        <v>4.5</v>
      </c>
      <c r="BX105" s="11" t="n">
        <v>0</v>
      </c>
      <c r="BY105" s="11" t="n">
        <v>0</v>
      </c>
      <c r="BZ105" s="11" t="n">
        <v>0</v>
      </c>
      <c r="CA105" s="11" t="n">
        <v>0</v>
      </c>
      <c r="CB105" s="11" t="n">
        <v>0</v>
      </c>
      <c r="CC105" s="11" t="n">
        <v>0</v>
      </c>
      <c r="CD105" s="11" t="n">
        <v>0</v>
      </c>
      <c r="CE105" s="11" t="n">
        <v>0</v>
      </c>
    </row>
    <row r="106">
      <c r="A106" s="14" t="inlineStr">
        <is>
          <t>2025-11-28</t>
        </is>
      </c>
      <c r="B106" s="8" t="n">
        <v>0</v>
      </c>
      <c r="C106" s="8" t="n">
        <v>0</v>
      </c>
      <c r="D106" s="8" t="n">
        <v>0</v>
      </c>
      <c r="E106" s="8" t="n">
        <v>0</v>
      </c>
      <c r="F106" s="8" t="n">
        <v>0</v>
      </c>
      <c r="G106" s="8" t="n">
        <v>0</v>
      </c>
      <c r="H106" s="8" t="n">
        <v>0</v>
      </c>
      <c r="I106" s="8" t="n">
        <v>3</v>
      </c>
      <c r="J106" s="8" t="n">
        <v>0</v>
      </c>
      <c r="K106" s="8" t="n">
        <v>0</v>
      </c>
      <c r="L106" s="8" t="n">
        <v>0</v>
      </c>
      <c r="M106" s="8" t="n">
        <v>0</v>
      </c>
      <c r="N106" s="8" t="n">
        <v>0</v>
      </c>
      <c r="O106" s="8" t="n">
        <v>0</v>
      </c>
      <c r="P106" s="8" t="n">
        <v>0</v>
      </c>
      <c r="Q106" s="8" t="n">
        <v>0</v>
      </c>
      <c r="R106" s="8" t="n">
        <v>10</v>
      </c>
      <c r="S106" s="8" t="n">
        <v>0</v>
      </c>
      <c r="T106" s="8" t="n">
        <v>0</v>
      </c>
      <c r="U106" s="8" t="n">
        <v>0</v>
      </c>
      <c r="V106" s="8" t="n">
        <v>4</v>
      </c>
      <c r="W106" s="8" t="n">
        <v>0</v>
      </c>
      <c r="X106" s="8" t="n">
        <v>0</v>
      </c>
      <c r="Y106" s="8" t="n">
        <v>0</v>
      </c>
      <c r="Z106" s="8" t="n">
        <v>0</v>
      </c>
      <c r="AA106" s="8" t="n">
        <v>0</v>
      </c>
      <c r="AB106" s="8" t="n">
        <v>0</v>
      </c>
      <c r="AC106" s="8" t="n">
        <v>0</v>
      </c>
      <c r="AD106" s="8" t="n">
        <v>0</v>
      </c>
      <c r="AE106" s="8" t="n">
        <v>0</v>
      </c>
      <c r="AF106" s="8" t="n">
        <v>12</v>
      </c>
      <c r="AG106" s="8" t="n">
        <v>1.5</v>
      </c>
      <c r="AH106" s="8" t="n">
        <v>0</v>
      </c>
      <c r="AI106" s="8" t="n">
        <v>0</v>
      </c>
      <c r="AJ106" s="8" t="n">
        <v>0</v>
      </c>
      <c r="AK106" s="8" t="n">
        <v>0</v>
      </c>
      <c r="AL106" s="8" t="n">
        <v>0</v>
      </c>
      <c r="AM106" s="8" t="n">
        <v>0</v>
      </c>
      <c r="AN106" s="8" t="n">
        <v>0</v>
      </c>
      <c r="AO106" s="8" t="n">
        <v>0</v>
      </c>
      <c r="AP106" s="8" t="n">
        <v>0</v>
      </c>
      <c r="AQ106" s="8" t="n">
        <v>1</v>
      </c>
      <c r="AR106" s="8" t="n">
        <v>0</v>
      </c>
      <c r="AS106" s="8" t="n">
        <v>0</v>
      </c>
      <c r="AT106" s="8" t="n">
        <v>0</v>
      </c>
      <c r="AU106" s="8" t="n">
        <v>0</v>
      </c>
      <c r="AV106" s="8" t="n">
        <v>0</v>
      </c>
      <c r="AW106" s="8" t="n">
        <v>0</v>
      </c>
      <c r="AX106" s="8" t="n">
        <v>0</v>
      </c>
      <c r="AY106" s="8" t="n">
        <v>0</v>
      </c>
      <c r="AZ106" s="8" t="n">
        <v>3</v>
      </c>
      <c r="BA106" s="8" t="n">
        <v>3</v>
      </c>
      <c r="BB106" s="8" t="n">
        <v>0</v>
      </c>
      <c r="BC106" s="8" t="n">
        <v>0</v>
      </c>
      <c r="BD106" s="8" t="n">
        <v>0</v>
      </c>
      <c r="BE106" s="8" t="n">
        <v>0</v>
      </c>
      <c r="BF106" s="8" t="n">
        <v>0</v>
      </c>
      <c r="BG106" s="8" t="n">
        <v>0</v>
      </c>
      <c r="BH106" s="8" t="n">
        <v>0</v>
      </c>
      <c r="BI106" s="8" t="n">
        <v>0</v>
      </c>
      <c r="BJ106" s="8" t="n">
        <v>0</v>
      </c>
      <c r="BK106" s="8" t="n">
        <v>0</v>
      </c>
      <c r="BL106" s="8" t="n">
        <v>18</v>
      </c>
      <c r="BM106" s="8" t="n">
        <v>0</v>
      </c>
      <c r="BN106" s="8" t="n">
        <v>11</v>
      </c>
      <c r="BO106" s="8" t="n">
        <v>0</v>
      </c>
      <c r="BP106" s="8" t="n">
        <v>0</v>
      </c>
      <c r="BQ106" s="8" t="n">
        <v>0</v>
      </c>
      <c r="BR106" s="8" t="n">
        <v>0</v>
      </c>
      <c r="BS106" s="8" t="n">
        <v>0</v>
      </c>
      <c r="BT106" s="8" t="n">
        <v>0</v>
      </c>
      <c r="BU106" s="8" t="n">
        <v>0</v>
      </c>
      <c r="BV106" s="8" t="n">
        <v>0</v>
      </c>
      <c r="BW106" s="8" t="n">
        <v>4.5</v>
      </c>
      <c r="BX106" s="8" t="n">
        <v>0</v>
      </c>
      <c r="BY106" s="8" t="n">
        <v>0</v>
      </c>
      <c r="BZ106" s="8" t="n">
        <v>0</v>
      </c>
      <c r="CA106" s="8" t="n">
        <v>0</v>
      </c>
      <c r="CB106" s="8" t="n">
        <v>0</v>
      </c>
      <c r="CC106" s="8" t="n">
        <v>0</v>
      </c>
      <c r="CD106" s="8" t="n">
        <v>0</v>
      </c>
      <c r="CE106" s="8" t="n">
        <v>0</v>
      </c>
    </row>
    <row r="107">
      <c r="A107" s="15" t="inlineStr">
        <is>
          <t>2025-12-01</t>
        </is>
      </c>
      <c r="B107" s="11" t="n">
        <v>0</v>
      </c>
      <c r="C107" s="11" t="n">
        <v>0</v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3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  <c r="P107" s="11" t="n">
        <v>0</v>
      </c>
      <c r="Q107" s="11" t="n">
        <v>0</v>
      </c>
      <c r="R107" s="11" t="n">
        <v>10</v>
      </c>
      <c r="S107" s="11" t="n">
        <v>0</v>
      </c>
      <c r="T107" s="11" t="n">
        <v>0</v>
      </c>
      <c r="U107" s="11" t="n">
        <v>0</v>
      </c>
      <c r="V107" s="11" t="n">
        <v>4</v>
      </c>
      <c r="W107" s="11" t="n">
        <v>0</v>
      </c>
      <c r="X107" s="11" t="n">
        <v>0</v>
      </c>
      <c r="Y107" s="11" t="n">
        <v>0</v>
      </c>
      <c r="Z107" s="11" t="n">
        <v>0</v>
      </c>
      <c r="AA107" s="11" t="n">
        <v>0</v>
      </c>
      <c r="AB107" s="11" t="n">
        <v>0</v>
      </c>
      <c r="AC107" s="11" t="n">
        <v>0</v>
      </c>
      <c r="AD107" s="11" t="n">
        <v>0</v>
      </c>
      <c r="AE107" s="11" t="n">
        <v>0</v>
      </c>
      <c r="AF107" s="11" t="n">
        <v>12</v>
      </c>
      <c r="AG107" s="11" t="n">
        <v>1.5</v>
      </c>
      <c r="AH107" s="11" t="n">
        <v>0</v>
      </c>
      <c r="AI107" s="11" t="n">
        <v>0</v>
      </c>
      <c r="AJ107" s="11" t="n">
        <v>0</v>
      </c>
      <c r="AK107" s="11" t="n">
        <v>0</v>
      </c>
      <c r="AL107" s="11" t="n">
        <v>0</v>
      </c>
      <c r="AM107" s="11" t="n">
        <v>0</v>
      </c>
      <c r="AN107" s="11" t="n">
        <v>0</v>
      </c>
      <c r="AO107" s="11" t="n">
        <v>0</v>
      </c>
      <c r="AP107" s="11" t="n">
        <v>0</v>
      </c>
      <c r="AQ107" s="11" t="n">
        <v>1</v>
      </c>
      <c r="AR107" s="11" t="n">
        <v>0</v>
      </c>
      <c r="AS107" s="11" t="n">
        <v>0</v>
      </c>
      <c r="AT107" s="11" t="n">
        <v>0</v>
      </c>
      <c r="AU107" s="11" t="n">
        <v>0</v>
      </c>
      <c r="AV107" s="11" t="n">
        <v>0</v>
      </c>
      <c r="AW107" s="11" t="n">
        <v>0</v>
      </c>
      <c r="AX107" s="11" t="n">
        <v>0</v>
      </c>
      <c r="AY107" s="11" t="n">
        <v>0</v>
      </c>
      <c r="AZ107" s="11" t="n">
        <v>3</v>
      </c>
      <c r="BA107" s="11" t="n">
        <v>3</v>
      </c>
      <c r="BB107" s="11" t="n">
        <v>0</v>
      </c>
      <c r="BC107" s="11" t="n">
        <v>0</v>
      </c>
      <c r="BD107" s="11" t="n">
        <v>0</v>
      </c>
      <c r="BE107" s="11" t="n">
        <v>0</v>
      </c>
      <c r="BF107" s="11" t="n">
        <v>0</v>
      </c>
      <c r="BG107" s="11" t="n">
        <v>0</v>
      </c>
      <c r="BH107" s="11" t="n">
        <v>0</v>
      </c>
      <c r="BI107" s="11" t="n">
        <v>0</v>
      </c>
      <c r="BJ107" s="11" t="n">
        <v>0</v>
      </c>
      <c r="BK107" s="11" t="n">
        <v>0</v>
      </c>
      <c r="BL107" s="11" t="n">
        <v>18</v>
      </c>
      <c r="BM107" s="11" t="n">
        <v>0</v>
      </c>
      <c r="BN107" s="11" t="n">
        <v>11</v>
      </c>
      <c r="BO107" s="11" t="n">
        <v>0</v>
      </c>
      <c r="BP107" s="11" t="n">
        <v>0</v>
      </c>
      <c r="BQ107" s="11" t="n">
        <v>0</v>
      </c>
      <c r="BR107" s="11" t="n">
        <v>0</v>
      </c>
      <c r="BS107" s="11" t="n">
        <v>0</v>
      </c>
      <c r="BT107" s="11" t="n">
        <v>0</v>
      </c>
      <c r="BU107" s="11" t="n">
        <v>0</v>
      </c>
      <c r="BV107" s="11" t="n">
        <v>0</v>
      </c>
      <c r="BW107" s="11" t="n">
        <v>4.5</v>
      </c>
      <c r="BX107" s="11" t="n">
        <v>0</v>
      </c>
      <c r="BY107" s="11" t="n">
        <v>0</v>
      </c>
      <c r="BZ107" s="11" t="n">
        <v>0</v>
      </c>
      <c r="CA107" s="11" t="n">
        <v>0</v>
      </c>
      <c r="CB107" s="11" t="n">
        <v>0</v>
      </c>
      <c r="CC107" s="11" t="n">
        <v>0</v>
      </c>
      <c r="CD107" s="11" t="n">
        <v>0</v>
      </c>
      <c r="CE107" s="11" t="n">
        <v>0</v>
      </c>
    </row>
    <row r="108">
      <c r="A108" s="14" t="inlineStr">
        <is>
          <t>2025-12-02</t>
        </is>
      </c>
      <c r="B108" s="8" t="n">
        <v>0</v>
      </c>
      <c r="C108" s="8" t="n">
        <v>0</v>
      </c>
      <c r="D108" s="8" t="n">
        <v>0</v>
      </c>
      <c r="E108" s="8" t="n">
        <v>0</v>
      </c>
      <c r="F108" s="8" t="n">
        <v>0</v>
      </c>
      <c r="G108" s="8" t="n">
        <v>0</v>
      </c>
      <c r="H108" s="8" t="n">
        <v>0</v>
      </c>
      <c r="I108" s="8" t="n">
        <v>3</v>
      </c>
      <c r="J108" s="8" t="n">
        <v>0</v>
      </c>
      <c r="K108" s="8" t="n">
        <v>0</v>
      </c>
      <c r="L108" s="8" t="n">
        <v>0</v>
      </c>
      <c r="M108" s="8" t="n">
        <v>0</v>
      </c>
      <c r="N108" s="8" t="n">
        <v>0</v>
      </c>
      <c r="O108" s="8" t="n">
        <v>0</v>
      </c>
      <c r="P108" s="8" t="n">
        <v>0</v>
      </c>
      <c r="Q108" s="8" t="n">
        <v>0</v>
      </c>
      <c r="R108" s="8" t="n">
        <v>10</v>
      </c>
      <c r="S108" s="8" t="n">
        <v>0</v>
      </c>
      <c r="T108" s="8" t="n">
        <v>0</v>
      </c>
      <c r="U108" s="8" t="n">
        <v>0</v>
      </c>
      <c r="V108" s="8" t="n">
        <v>4</v>
      </c>
      <c r="W108" s="8" t="n">
        <v>0</v>
      </c>
      <c r="X108" s="8" t="n">
        <v>0</v>
      </c>
      <c r="Y108" s="8" t="n">
        <v>0</v>
      </c>
      <c r="Z108" s="8" t="n">
        <v>0</v>
      </c>
      <c r="AA108" s="8" t="n">
        <v>0</v>
      </c>
      <c r="AB108" s="8" t="n">
        <v>0</v>
      </c>
      <c r="AC108" s="8" t="n">
        <v>0</v>
      </c>
      <c r="AD108" s="8" t="n">
        <v>0</v>
      </c>
      <c r="AE108" s="8" t="n">
        <v>0</v>
      </c>
      <c r="AF108" s="8" t="n">
        <v>12</v>
      </c>
      <c r="AG108" s="8" t="n">
        <v>1.5</v>
      </c>
      <c r="AH108" s="8" t="n">
        <v>0</v>
      </c>
      <c r="AI108" s="8" t="n">
        <v>0</v>
      </c>
      <c r="AJ108" s="8" t="n">
        <v>0</v>
      </c>
      <c r="AK108" s="8" t="n">
        <v>0</v>
      </c>
      <c r="AL108" s="8" t="n">
        <v>0</v>
      </c>
      <c r="AM108" s="8" t="n">
        <v>0</v>
      </c>
      <c r="AN108" s="8" t="n">
        <v>0</v>
      </c>
      <c r="AO108" s="8" t="n">
        <v>0</v>
      </c>
      <c r="AP108" s="8" t="n">
        <v>0</v>
      </c>
      <c r="AQ108" s="8" t="n">
        <v>1</v>
      </c>
      <c r="AR108" s="8" t="n">
        <v>0</v>
      </c>
      <c r="AS108" s="8" t="n">
        <v>0</v>
      </c>
      <c r="AT108" s="8" t="n">
        <v>0</v>
      </c>
      <c r="AU108" s="8" t="n">
        <v>0</v>
      </c>
      <c r="AV108" s="8" t="n">
        <v>0</v>
      </c>
      <c r="AW108" s="8" t="n">
        <v>0</v>
      </c>
      <c r="AX108" s="8" t="n">
        <v>0</v>
      </c>
      <c r="AY108" s="8" t="n">
        <v>0</v>
      </c>
      <c r="AZ108" s="8" t="n">
        <v>3</v>
      </c>
      <c r="BA108" s="8" t="n">
        <v>3</v>
      </c>
      <c r="BB108" s="8" t="n">
        <v>0</v>
      </c>
      <c r="BC108" s="8" t="n">
        <v>0</v>
      </c>
      <c r="BD108" s="8" t="n">
        <v>0</v>
      </c>
      <c r="BE108" s="8" t="n">
        <v>0</v>
      </c>
      <c r="BF108" s="8" t="n">
        <v>0</v>
      </c>
      <c r="BG108" s="8" t="n">
        <v>0</v>
      </c>
      <c r="BH108" s="8" t="n">
        <v>0</v>
      </c>
      <c r="BI108" s="8" t="n">
        <v>0</v>
      </c>
      <c r="BJ108" s="8" t="n">
        <v>0</v>
      </c>
      <c r="BK108" s="8" t="n">
        <v>0</v>
      </c>
      <c r="BL108" s="8" t="n">
        <v>18</v>
      </c>
      <c r="BM108" s="8" t="n">
        <v>0</v>
      </c>
      <c r="BN108" s="8" t="n">
        <v>11</v>
      </c>
      <c r="BO108" s="8" t="n">
        <v>0</v>
      </c>
      <c r="BP108" s="8" t="n">
        <v>0</v>
      </c>
      <c r="BQ108" s="8" t="n">
        <v>0</v>
      </c>
      <c r="BR108" s="8" t="n">
        <v>0</v>
      </c>
      <c r="BS108" s="8" t="n">
        <v>0</v>
      </c>
      <c r="BT108" s="8" t="n">
        <v>0</v>
      </c>
      <c r="BU108" s="8" t="n">
        <v>0</v>
      </c>
      <c r="BV108" s="8" t="n">
        <v>0</v>
      </c>
      <c r="BW108" s="8" t="n">
        <v>4.5</v>
      </c>
      <c r="BX108" s="8" t="n">
        <v>0</v>
      </c>
      <c r="BY108" s="8" t="n">
        <v>0</v>
      </c>
      <c r="BZ108" s="8" t="n">
        <v>0</v>
      </c>
      <c r="CA108" s="8" t="n">
        <v>0</v>
      </c>
      <c r="CB108" s="8" t="n">
        <v>0</v>
      </c>
      <c r="CC108" s="8" t="n">
        <v>0</v>
      </c>
      <c r="CD108" s="8" t="n">
        <v>0</v>
      </c>
      <c r="CE108" s="8" t="n">
        <v>0</v>
      </c>
    </row>
    <row r="109">
      <c r="A109" s="15" t="inlineStr">
        <is>
          <t>2025-12-03</t>
        </is>
      </c>
      <c r="B109" s="11" t="n">
        <v>0</v>
      </c>
      <c r="C109" s="11" t="n">
        <v>0</v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3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  <c r="P109" s="11" t="n">
        <v>0</v>
      </c>
      <c r="Q109" s="11" t="n">
        <v>0</v>
      </c>
      <c r="R109" s="11" t="n">
        <v>10</v>
      </c>
      <c r="S109" s="11" t="n">
        <v>0</v>
      </c>
      <c r="T109" s="11" t="n">
        <v>0</v>
      </c>
      <c r="U109" s="11" t="n">
        <v>0</v>
      </c>
      <c r="V109" s="11" t="n">
        <v>4</v>
      </c>
      <c r="W109" s="11" t="n">
        <v>0</v>
      </c>
      <c r="X109" s="11" t="n">
        <v>0</v>
      </c>
      <c r="Y109" s="11" t="n">
        <v>0</v>
      </c>
      <c r="Z109" s="11" t="n">
        <v>0</v>
      </c>
      <c r="AA109" s="11" t="n">
        <v>0</v>
      </c>
      <c r="AB109" s="11" t="n">
        <v>0</v>
      </c>
      <c r="AC109" s="11" t="n">
        <v>0</v>
      </c>
      <c r="AD109" s="11" t="n">
        <v>0</v>
      </c>
      <c r="AE109" s="11" t="n">
        <v>0</v>
      </c>
      <c r="AF109" s="11" t="n">
        <v>12</v>
      </c>
      <c r="AG109" s="11" t="n">
        <v>1.5</v>
      </c>
      <c r="AH109" s="11" t="n">
        <v>0</v>
      </c>
      <c r="AI109" s="11" t="n">
        <v>0</v>
      </c>
      <c r="AJ109" s="11" t="n">
        <v>0</v>
      </c>
      <c r="AK109" s="11" t="n">
        <v>0</v>
      </c>
      <c r="AL109" s="11" t="n">
        <v>0</v>
      </c>
      <c r="AM109" s="11" t="n">
        <v>0</v>
      </c>
      <c r="AN109" s="11" t="n">
        <v>0</v>
      </c>
      <c r="AO109" s="11" t="n">
        <v>0</v>
      </c>
      <c r="AP109" s="11" t="n">
        <v>0</v>
      </c>
      <c r="AQ109" s="11" t="n">
        <v>1</v>
      </c>
      <c r="AR109" s="11" t="n">
        <v>0</v>
      </c>
      <c r="AS109" s="11" t="n">
        <v>0</v>
      </c>
      <c r="AT109" s="11" t="n">
        <v>0</v>
      </c>
      <c r="AU109" s="11" t="n">
        <v>0</v>
      </c>
      <c r="AV109" s="11" t="n">
        <v>0</v>
      </c>
      <c r="AW109" s="11" t="n">
        <v>0</v>
      </c>
      <c r="AX109" s="11" t="n">
        <v>0</v>
      </c>
      <c r="AY109" s="11" t="n">
        <v>0</v>
      </c>
      <c r="AZ109" s="11" t="n">
        <v>3</v>
      </c>
      <c r="BA109" s="11" t="n">
        <v>3</v>
      </c>
      <c r="BB109" s="11" t="n">
        <v>0</v>
      </c>
      <c r="BC109" s="11" t="n">
        <v>0</v>
      </c>
      <c r="BD109" s="11" t="n">
        <v>0</v>
      </c>
      <c r="BE109" s="11" t="n">
        <v>0</v>
      </c>
      <c r="BF109" s="11" t="n">
        <v>0</v>
      </c>
      <c r="BG109" s="11" t="n">
        <v>0</v>
      </c>
      <c r="BH109" s="11" t="n">
        <v>0</v>
      </c>
      <c r="BI109" s="11" t="n">
        <v>0</v>
      </c>
      <c r="BJ109" s="11" t="n">
        <v>0</v>
      </c>
      <c r="BK109" s="11" t="n">
        <v>0</v>
      </c>
      <c r="BL109" s="11" t="n">
        <v>18</v>
      </c>
      <c r="BM109" s="11" t="n">
        <v>0</v>
      </c>
      <c r="BN109" s="11" t="n">
        <v>11</v>
      </c>
      <c r="BO109" s="11" t="n">
        <v>0</v>
      </c>
      <c r="BP109" s="11" t="n">
        <v>0</v>
      </c>
      <c r="BQ109" s="11" t="n">
        <v>0</v>
      </c>
      <c r="BR109" s="11" t="n">
        <v>0</v>
      </c>
      <c r="BS109" s="11" t="n">
        <v>0</v>
      </c>
      <c r="BT109" s="11" t="n">
        <v>0</v>
      </c>
      <c r="BU109" s="11" t="n">
        <v>0</v>
      </c>
      <c r="BV109" s="11" t="n">
        <v>0</v>
      </c>
      <c r="BW109" s="11" t="n">
        <v>4.5</v>
      </c>
      <c r="BX109" s="11" t="n">
        <v>0</v>
      </c>
      <c r="BY109" s="11" t="n">
        <v>0</v>
      </c>
      <c r="BZ109" s="11" t="n">
        <v>0</v>
      </c>
      <c r="CA109" s="11" t="n">
        <v>0</v>
      </c>
      <c r="CB109" s="11" t="n">
        <v>0</v>
      </c>
      <c r="CC109" s="11" t="n">
        <v>0</v>
      </c>
      <c r="CD109" s="11" t="n">
        <v>0</v>
      </c>
      <c r="CE109" s="11" t="n">
        <v>0</v>
      </c>
    </row>
    <row r="110">
      <c r="A110" s="14" t="inlineStr">
        <is>
          <t>2025-12-04</t>
        </is>
      </c>
      <c r="B110" s="8" t="n">
        <v>0</v>
      </c>
      <c r="C110" s="8" t="n">
        <v>0</v>
      </c>
      <c r="D110" s="8" t="n">
        <v>0</v>
      </c>
      <c r="E110" s="8" t="n">
        <v>0</v>
      </c>
      <c r="F110" s="8" t="n">
        <v>0</v>
      </c>
      <c r="G110" s="8" t="n">
        <v>0</v>
      </c>
      <c r="H110" s="8" t="n">
        <v>0</v>
      </c>
      <c r="I110" s="8" t="n">
        <v>3</v>
      </c>
      <c r="J110" s="8" t="n">
        <v>0</v>
      </c>
      <c r="K110" s="8" t="n">
        <v>0</v>
      </c>
      <c r="L110" s="8" t="n">
        <v>0</v>
      </c>
      <c r="M110" s="8" t="n">
        <v>0</v>
      </c>
      <c r="N110" s="8" t="n">
        <v>0</v>
      </c>
      <c r="O110" s="8" t="n">
        <v>0</v>
      </c>
      <c r="P110" s="8" t="n">
        <v>0</v>
      </c>
      <c r="Q110" s="8" t="n">
        <v>0</v>
      </c>
      <c r="R110" s="8" t="n">
        <v>10</v>
      </c>
      <c r="S110" s="8" t="n">
        <v>0</v>
      </c>
      <c r="T110" s="8" t="n">
        <v>0</v>
      </c>
      <c r="U110" s="8" t="n">
        <v>0</v>
      </c>
      <c r="V110" s="8" t="n">
        <v>4</v>
      </c>
      <c r="W110" s="8" t="n">
        <v>0</v>
      </c>
      <c r="X110" s="8" t="n">
        <v>0</v>
      </c>
      <c r="Y110" s="8" t="n">
        <v>0</v>
      </c>
      <c r="Z110" s="8" t="n">
        <v>0</v>
      </c>
      <c r="AA110" s="8" t="n">
        <v>0</v>
      </c>
      <c r="AB110" s="8" t="n">
        <v>0</v>
      </c>
      <c r="AC110" s="8" t="n">
        <v>0</v>
      </c>
      <c r="AD110" s="8" t="n">
        <v>0</v>
      </c>
      <c r="AE110" s="8" t="n">
        <v>0</v>
      </c>
      <c r="AF110" s="8" t="n">
        <v>12</v>
      </c>
      <c r="AG110" s="8" t="n">
        <v>1.5</v>
      </c>
      <c r="AH110" s="8" t="n">
        <v>0</v>
      </c>
      <c r="AI110" s="8" t="n">
        <v>0</v>
      </c>
      <c r="AJ110" s="8" t="n">
        <v>0</v>
      </c>
      <c r="AK110" s="8" t="n">
        <v>0</v>
      </c>
      <c r="AL110" s="8" t="n">
        <v>0</v>
      </c>
      <c r="AM110" s="8" t="n">
        <v>0</v>
      </c>
      <c r="AN110" s="8" t="n">
        <v>0</v>
      </c>
      <c r="AO110" s="8" t="n">
        <v>0</v>
      </c>
      <c r="AP110" s="8" t="n">
        <v>0</v>
      </c>
      <c r="AQ110" s="8" t="n">
        <v>1</v>
      </c>
      <c r="AR110" s="8" t="n">
        <v>0</v>
      </c>
      <c r="AS110" s="8" t="n">
        <v>0</v>
      </c>
      <c r="AT110" s="8" t="n">
        <v>0</v>
      </c>
      <c r="AU110" s="8" t="n">
        <v>0</v>
      </c>
      <c r="AV110" s="8" t="n">
        <v>0</v>
      </c>
      <c r="AW110" s="8" t="n">
        <v>0</v>
      </c>
      <c r="AX110" s="8" t="n">
        <v>0</v>
      </c>
      <c r="AY110" s="8" t="n">
        <v>0</v>
      </c>
      <c r="AZ110" s="8" t="n">
        <v>3</v>
      </c>
      <c r="BA110" s="8" t="n">
        <v>3</v>
      </c>
      <c r="BB110" s="8" t="n">
        <v>0</v>
      </c>
      <c r="BC110" s="8" t="n">
        <v>0</v>
      </c>
      <c r="BD110" s="8" t="n">
        <v>0</v>
      </c>
      <c r="BE110" s="8" t="n">
        <v>0</v>
      </c>
      <c r="BF110" s="8" t="n">
        <v>0</v>
      </c>
      <c r="BG110" s="8" t="n">
        <v>0</v>
      </c>
      <c r="BH110" s="8" t="n">
        <v>0</v>
      </c>
      <c r="BI110" s="8" t="n">
        <v>0</v>
      </c>
      <c r="BJ110" s="8" t="n">
        <v>0</v>
      </c>
      <c r="BK110" s="8" t="n">
        <v>0</v>
      </c>
      <c r="BL110" s="8" t="n">
        <v>18</v>
      </c>
      <c r="BM110" s="8" t="n">
        <v>0</v>
      </c>
      <c r="BN110" s="8" t="n">
        <v>11</v>
      </c>
      <c r="BO110" s="8" t="n">
        <v>0</v>
      </c>
      <c r="BP110" s="8" t="n">
        <v>0</v>
      </c>
      <c r="BQ110" s="8" t="n">
        <v>0</v>
      </c>
      <c r="BR110" s="8" t="n">
        <v>0</v>
      </c>
      <c r="BS110" s="8" t="n">
        <v>0</v>
      </c>
      <c r="BT110" s="8" t="n">
        <v>0</v>
      </c>
      <c r="BU110" s="8" t="n">
        <v>0</v>
      </c>
      <c r="BV110" s="8" t="n">
        <v>0</v>
      </c>
      <c r="BW110" s="8" t="n">
        <v>4.5</v>
      </c>
      <c r="BX110" s="8" t="n">
        <v>0</v>
      </c>
      <c r="BY110" s="8" t="n">
        <v>0</v>
      </c>
      <c r="BZ110" s="8" t="n">
        <v>0</v>
      </c>
      <c r="CA110" s="8" t="n">
        <v>0</v>
      </c>
      <c r="CB110" s="8" t="n">
        <v>0</v>
      </c>
      <c r="CC110" s="8" t="n">
        <v>0</v>
      </c>
      <c r="CD110" s="8" t="n">
        <v>0</v>
      </c>
      <c r="CE110" s="8" t="n">
        <v>0</v>
      </c>
    </row>
    <row r="111">
      <c r="A111" s="15" t="inlineStr">
        <is>
          <t>2025-12-05</t>
        </is>
      </c>
      <c r="B111" s="11" t="n">
        <v>0</v>
      </c>
      <c r="C111" s="11" t="n">
        <v>0</v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3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10</v>
      </c>
      <c r="S111" s="11" t="n">
        <v>0</v>
      </c>
      <c r="T111" s="11" t="n">
        <v>0</v>
      </c>
      <c r="U111" s="11" t="n">
        <v>0</v>
      </c>
      <c r="V111" s="11" t="n">
        <v>4</v>
      </c>
      <c r="W111" s="11" t="n">
        <v>0</v>
      </c>
      <c r="X111" s="11" t="n">
        <v>0</v>
      </c>
      <c r="Y111" s="11" t="n">
        <v>0</v>
      </c>
      <c r="Z111" s="11" t="n">
        <v>0</v>
      </c>
      <c r="AA111" s="11" t="n">
        <v>0</v>
      </c>
      <c r="AB111" s="11" t="n">
        <v>0</v>
      </c>
      <c r="AC111" s="11" t="n">
        <v>0</v>
      </c>
      <c r="AD111" s="11" t="n">
        <v>0</v>
      </c>
      <c r="AE111" s="11" t="n">
        <v>0</v>
      </c>
      <c r="AF111" s="11" t="n">
        <v>12</v>
      </c>
      <c r="AG111" s="11" t="n">
        <v>1.5</v>
      </c>
      <c r="AH111" s="11" t="n">
        <v>0</v>
      </c>
      <c r="AI111" s="11" t="n">
        <v>0</v>
      </c>
      <c r="AJ111" s="11" t="n">
        <v>0</v>
      </c>
      <c r="AK111" s="11" t="n">
        <v>0</v>
      </c>
      <c r="AL111" s="11" t="n">
        <v>0</v>
      </c>
      <c r="AM111" s="11" t="n">
        <v>0</v>
      </c>
      <c r="AN111" s="11" t="n">
        <v>0</v>
      </c>
      <c r="AO111" s="11" t="n">
        <v>0</v>
      </c>
      <c r="AP111" s="11" t="n">
        <v>0</v>
      </c>
      <c r="AQ111" s="11" t="n">
        <v>1</v>
      </c>
      <c r="AR111" s="11" t="n">
        <v>0</v>
      </c>
      <c r="AS111" s="11" t="n">
        <v>0</v>
      </c>
      <c r="AT111" s="11" t="n">
        <v>0</v>
      </c>
      <c r="AU111" s="11" t="n">
        <v>0</v>
      </c>
      <c r="AV111" s="11" t="n">
        <v>0</v>
      </c>
      <c r="AW111" s="11" t="n">
        <v>0</v>
      </c>
      <c r="AX111" s="11" t="n">
        <v>0</v>
      </c>
      <c r="AY111" s="11" t="n">
        <v>0</v>
      </c>
      <c r="AZ111" s="11" t="n">
        <v>3</v>
      </c>
      <c r="BA111" s="11" t="n">
        <v>3</v>
      </c>
      <c r="BB111" s="11" t="n">
        <v>0</v>
      </c>
      <c r="BC111" s="11" t="n">
        <v>0</v>
      </c>
      <c r="BD111" s="11" t="n">
        <v>0</v>
      </c>
      <c r="BE111" s="11" t="n">
        <v>0</v>
      </c>
      <c r="BF111" s="11" t="n">
        <v>0</v>
      </c>
      <c r="BG111" s="11" t="n">
        <v>0</v>
      </c>
      <c r="BH111" s="11" t="n">
        <v>0</v>
      </c>
      <c r="BI111" s="11" t="n">
        <v>0</v>
      </c>
      <c r="BJ111" s="11" t="n">
        <v>0</v>
      </c>
      <c r="BK111" s="11" t="n">
        <v>0</v>
      </c>
      <c r="BL111" s="11" t="n">
        <v>18</v>
      </c>
      <c r="BM111" s="11" t="n">
        <v>0</v>
      </c>
      <c r="BN111" s="11" t="n">
        <v>11</v>
      </c>
      <c r="BO111" s="11" t="n">
        <v>0</v>
      </c>
      <c r="BP111" s="11" t="n">
        <v>0</v>
      </c>
      <c r="BQ111" s="11" t="n">
        <v>0</v>
      </c>
      <c r="BR111" s="11" t="n">
        <v>0</v>
      </c>
      <c r="BS111" s="11" t="n">
        <v>0</v>
      </c>
      <c r="BT111" s="11" t="n">
        <v>0</v>
      </c>
      <c r="BU111" s="11" t="n">
        <v>0</v>
      </c>
      <c r="BV111" s="11" t="n">
        <v>0</v>
      </c>
      <c r="BW111" s="11" t="n">
        <v>4.5</v>
      </c>
      <c r="BX111" s="11" t="n">
        <v>0</v>
      </c>
      <c r="BY111" s="11" t="n">
        <v>0</v>
      </c>
      <c r="BZ111" s="11" t="n">
        <v>0</v>
      </c>
      <c r="CA111" s="11" t="n">
        <v>0</v>
      </c>
      <c r="CB111" s="11" t="n">
        <v>0</v>
      </c>
      <c r="CC111" s="11" t="n">
        <v>0</v>
      </c>
      <c r="CD111" s="11" t="n">
        <v>0</v>
      </c>
      <c r="CE111" s="11" t="n">
        <v>0</v>
      </c>
    </row>
    <row r="112">
      <c r="A112" s="14" t="inlineStr">
        <is>
          <t>2025-12-08</t>
        </is>
      </c>
      <c r="B112" s="8" t="n">
        <v>0</v>
      </c>
      <c r="C112" s="8" t="n">
        <v>0</v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3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  <c r="Q112" s="8" t="n">
        <v>0</v>
      </c>
      <c r="R112" s="8" t="n">
        <v>10</v>
      </c>
      <c r="S112" s="8" t="n">
        <v>0</v>
      </c>
      <c r="T112" s="8" t="n">
        <v>0</v>
      </c>
      <c r="U112" s="8" t="n">
        <v>0</v>
      </c>
      <c r="V112" s="8" t="n">
        <v>4</v>
      </c>
      <c r="W112" s="8" t="n">
        <v>0</v>
      </c>
      <c r="X112" s="8" t="n">
        <v>0</v>
      </c>
      <c r="Y112" s="8" t="n">
        <v>0</v>
      </c>
      <c r="Z112" s="8" t="n">
        <v>0</v>
      </c>
      <c r="AA112" s="8" t="n">
        <v>0</v>
      </c>
      <c r="AB112" s="8" t="n">
        <v>0</v>
      </c>
      <c r="AC112" s="8" t="n">
        <v>0</v>
      </c>
      <c r="AD112" s="8" t="n">
        <v>0</v>
      </c>
      <c r="AE112" s="8" t="n">
        <v>0</v>
      </c>
      <c r="AF112" s="8" t="n">
        <v>12</v>
      </c>
      <c r="AG112" s="8" t="n">
        <v>1.5</v>
      </c>
      <c r="AH112" s="8" t="n">
        <v>0</v>
      </c>
      <c r="AI112" s="8" t="n">
        <v>0</v>
      </c>
      <c r="AJ112" s="8" t="n">
        <v>0</v>
      </c>
      <c r="AK112" s="8" t="n">
        <v>0</v>
      </c>
      <c r="AL112" s="8" t="n">
        <v>0</v>
      </c>
      <c r="AM112" s="8" t="n">
        <v>0</v>
      </c>
      <c r="AN112" s="8" t="n">
        <v>0</v>
      </c>
      <c r="AO112" s="8" t="n">
        <v>0</v>
      </c>
      <c r="AP112" s="8" t="n">
        <v>0</v>
      </c>
      <c r="AQ112" s="8" t="n">
        <v>1</v>
      </c>
      <c r="AR112" s="8" t="n">
        <v>0</v>
      </c>
      <c r="AS112" s="8" t="n">
        <v>0</v>
      </c>
      <c r="AT112" s="8" t="n">
        <v>0</v>
      </c>
      <c r="AU112" s="8" t="n">
        <v>0</v>
      </c>
      <c r="AV112" s="8" t="n">
        <v>0</v>
      </c>
      <c r="AW112" s="8" t="n">
        <v>0</v>
      </c>
      <c r="AX112" s="8" t="n">
        <v>0</v>
      </c>
      <c r="AY112" s="8" t="n">
        <v>0</v>
      </c>
      <c r="AZ112" s="8" t="n">
        <v>3</v>
      </c>
      <c r="BA112" s="8" t="n">
        <v>3</v>
      </c>
      <c r="BB112" s="8" t="n">
        <v>0</v>
      </c>
      <c r="BC112" s="8" t="n">
        <v>0</v>
      </c>
      <c r="BD112" s="8" t="n">
        <v>0</v>
      </c>
      <c r="BE112" s="8" t="n">
        <v>0</v>
      </c>
      <c r="BF112" s="8" t="n">
        <v>0</v>
      </c>
      <c r="BG112" s="8" t="n">
        <v>0</v>
      </c>
      <c r="BH112" s="8" t="n">
        <v>0</v>
      </c>
      <c r="BI112" s="8" t="n">
        <v>0</v>
      </c>
      <c r="BJ112" s="8" t="n">
        <v>0</v>
      </c>
      <c r="BK112" s="8" t="n">
        <v>0</v>
      </c>
      <c r="BL112" s="8" t="n">
        <v>18</v>
      </c>
      <c r="BM112" s="8" t="n">
        <v>0</v>
      </c>
      <c r="BN112" s="8" t="n">
        <v>11</v>
      </c>
      <c r="BO112" s="8" t="n">
        <v>0</v>
      </c>
      <c r="BP112" s="8" t="n">
        <v>0</v>
      </c>
      <c r="BQ112" s="8" t="n">
        <v>0</v>
      </c>
      <c r="BR112" s="8" t="n">
        <v>0</v>
      </c>
      <c r="BS112" s="8" t="n">
        <v>0</v>
      </c>
      <c r="BT112" s="8" t="n">
        <v>0</v>
      </c>
      <c r="BU112" s="8" t="n">
        <v>0</v>
      </c>
      <c r="BV112" s="8" t="n">
        <v>0</v>
      </c>
      <c r="BW112" s="8" t="n">
        <v>4.5</v>
      </c>
      <c r="BX112" s="8" t="n">
        <v>0</v>
      </c>
      <c r="BY112" s="8" t="n">
        <v>0</v>
      </c>
      <c r="BZ112" s="8" t="n">
        <v>0</v>
      </c>
      <c r="CA112" s="8" t="n">
        <v>0</v>
      </c>
      <c r="CB112" s="8" t="n">
        <v>0</v>
      </c>
      <c r="CC112" s="8" t="n">
        <v>0</v>
      </c>
      <c r="CD112" s="8" t="n">
        <v>0</v>
      </c>
      <c r="CE112" s="8" t="n">
        <v>0</v>
      </c>
    </row>
    <row r="113">
      <c r="A113" s="15" t="inlineStr">
        <is>
          <t>2025-12-09</t>
        </is>
      </c>
      <c r="B113" s="11" t="n">
        <v>0</v>
      </c>
      <c r="C113" s="11" t="n">
        <v>0</v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3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  <c r="P113" s="11" t="n">
        <v>0</v>
      </c>
      <c r="Q113" s="11" t="n">
        <v>0</v>
      </c>
      <c r="R113" s="11" t="n">
        <v>10</v>
      </c>
      <c r="S113" s="11" t="n">
        <v>0</v>
      </c>
      <c r="T113" s="11" t="n">
        <v>0</v>
      </c>
      <c r="U113" s="11" t="n">
        <v>0</v>
      </c>
      <c r="V113" s="11" t="n">
        <v>4</v>
      </c>
      <c r="W113" s="11" t="n">
        <v>0</v>
      </c>
      <c r="X113" s="11" t="n">
        <v>0</v>
      </c>
      <c r="Y113" s="11" t="n">
        <v>0</v>
      </c>
      <c r="Z113" s="11" t="n">
        <v>0</v>
      </c>
      <c r="AA113" s="11" t="n">
        <v>0</v>
      </c>
      <c r="AB113" s="11" t="n">
        <v>0</v>
      </c>
      <c r="AC113" s="11" t="n">
        <v>0</v>
      </c>
      <c r="AD113" s="11" t="n">
        <v>0</v>
      </c>
      <c r="AE113" s="11" t="n">
        <v>0</v>
      </c>
      <c r="AF113" s="11" t="n">
        <v>12</v>
      </c>
      <c r="AG113" s="11" t="n">
        <v>1.5</v>
      </c>
      <c r="AH113" s="11" t="n">
        <v>0</v>
      </c>
      <c r="AI113" s="11" t="n">
        <v>0</v>
      </c>
      <c r="AJ113" s="11" t="n">
        <v>0</v>
      </c>
      <c r="AK113" s="11" t="n">
        <v>0</v>
      </c>
      <c r="AL113" s="11" t="n">
        <v>0</v>
      </c>
      <c r="AM113" s="11" t="n">
        <v>0</v>
      </c>
      <c r="AN113" s="11" t="n">
        <v>0</v>
      </c>
      <c r="AO113" s="11" t="n">
        <v>0</v>
      </c>
      <c r="AP113" s="11" t="n">
        <v>0</v>
      </c>
      <c r="AQ113" s="11" t="n">
        <v>1</v>
      </c>
      <c r="AR113" s="11" t="n">
        <v>0</v>
      </c>
      <c r="AS113" s="11" t="n">
        <v>0</v>
      </c>
      <c r="AT113" s="11" t="n">
        <v>0</v>
      </c>
      <c r="AU113" s="11" t="n">
        <v>0</v>
      </c>
      <c r="AV113" s="11" t="n">
        <v>0</v>
      </c>
      <c r="AW113" s="11" t="n">
        <v>0</v>
      </c>
      <c r="AX113" s="11" t="n">
        <v>0</v>
      </c>
      <c r="AY113" s="11" t="n">
        <v>0</v>
      </c>
      <c r="AZ113" s="11" t="n">
        <v>3</v>
      </c>
      <c r="BA113" s="11" t="n">
        <v>3</v>
      </c>
      <c r="BB113" s="11" t="n">
        <v>0</v>
      </c>
      <c r="BC113" s="11" t="n">
        <v>0</v>
      </c>
      <c r="BD113" s="11" t="n">
        <v>0</v>
      </c>
      <c r="BE113" s="11" t="n">
        <v>0</v>
      </c>
      <c r="BF113" s="11" t="n">
        <v>0</v>
      </c>
      <c r="BG113" s="11" t="n">
        <v>0</v>
      </c>
      <c r="BH113" s="11" t="n">
        <v>0</v>
      </c>
      <c r="BI113" s="11" t="n">
        <v>0</v>
      </c>
      <c r="BJ113" s="11" t="n">
        <v>0</v>
      </c>
      <c r="BK113" s="11" t="n">
        <v>0</v>
      </c>
      <c r="BL113" s="11" t="n">
        <v>18</v>
      </c>
      <c r="BM113" s="11" t="n">
        <v>0</v>
      </c>
      <c r="BN113" s="11" t="n">
        <v>11</v>
      </c>
      <c r="BO113" s="11" t="n">
        <v>0</v>
      </c>
      <c r="BP113" s="11" t="n">
        <v>0</v>
      </c>
      <c r="BQ113" s="11" t="n">
        <v>0</v>
      </c>
      <c r="BR113" s="11" t="n">
        <v>0</v>
      </c>
      <c r="BS113" s="11" t="n">
        <v>0</v>
      </c>
      <c r="BT113" s="11" t="n">
        <v>0</v>
      </c>
      <c r="BU113" s="11" t="n">
        <v>0</v>
      </c>
      <c r="BV113" s="11" t="n">
        <v>0</v>
      </c>
      <c r="BW113" s="11" t="n">
        <v>4.5</v>
      </c>
      <c r="BX113" s="11" t="n">
        <v>0</v>
      </c>
      <c r="BY113" s="11" t="n">
        <v>0</v>
      </c>
      <c r="BZ113" s="11" t="n">
        <v>0</v>
      </c>
      <c r="CA113" s="11" t="n">
        <v>0</v>
      </c>
      <c r="CB113" s="11" t="n">
        <v>0</v>
      </c>
      <c r="CC113" s="11" t="n">
        <v>0</v>
      </c>
      <c r="CD113" s="11" t="n">
        <v>0</v>
      </c>
      <c r="CE113" s="11" t="n">
        <v>0</v>
      </c>
    </row>
    <row r="114">
      <c r="A114" s="14" t="inlineStr">
        <is>
          <t>2025-12-10</t>
        </is>
      </c>
      <c r="B114" s="8" t="n">
        <v>0</v>
      </c>
      <c r="C114" s="8" t="n">
        <v>0</v>
      </c>
      <c r="D114" s="8" t="n">
        <v>0</v>
      </c>
      <c r="E114" s="8" t="n">
        <v>0</v>
      </c>
      <c r="F114" s="8" t="n">
        <v>0</v>
      </c>
      <c r="G114" s="8" t="n">
        <v>0</v>
      </c>
      <c r="H114" s="8" t="n">
        <v>0</v>
      </c>
      <c r="I114" s="8" t="n">
        <v>3</v>
      </c>
      <c r="J114" s="8" t="n">
        <v>0</v>
      </c>
      <c r="K114" s="8" t="n">
        <v>0</v>
      </c>
      <c r="L114" s="8" t="n">
        <v>0</v>
      </c>
      <c r="M114" s="8" t="n">
        <v>0</v>
      </c>
      <c r="N114" s="8" t="n">
        <v>0</v>
      </c>
      <c r="O114" s="8" t="n">
        <v>0</v>
      </c>
      <c r="P114" s="8" t="n">
        <v>0</v>
      </c>
      <c r="Q114" s="8" t="n">
        <v>0</v>
      </c>
      <c r="R114" s="8" t="n">
        <v>10</v>
      </c>
      <c r="S114" s="8" t="n">
        <v>0</v>
      </c>
      <c r="T114" s="8" t="n">
        <v>0</v>
      </c>
      <c r="U114" s="8" t="n">
        <v>0</v>
      </c>
      <c r="V114" s="8" t="n">
        <v>4</v>
      </c>
      <c r="W114" s="8" t="n">
        <v>0</v>
      </c>
      <c r="X114" s="8" t="n">
        <v>0</v>
      </c>
      <c r="Y114" s="8" t="n">
        <v>0</v>
      </c>
      <c r="Z114" s="8" t="n">
        <v>0</v>
      </c>
      <c r="AA114" s="8" t="n">
        <v>0</v>
      </c>
      <c r="AB114" s="8" t="n">
        <v>0</v>
      </c>
      <c r="AC114" s="8" t="n">
        <v>0</v>
      </c>
      <c r="AD114" s="8" t="n">
        <v>0</v>
      </c>
      <c r="AE114" s="8" t="n">
        <v>0</v>
      </c>
      <c r="AF114" s="8" t="n">
        <v>12</v>
      </c>
      <c r="AG114" s="8" t="n">
        <v>1.5</v>
      </c>
      <c r="AH114" s="8" t="n">
        <v>0</v>
      </c>
      <c r="AI114" s="8" t="n">
        <v>0</v>
      </c>
      <c r="AJ114" s="8" t="n">
        <v>0</v>
      </c>
      <c r="AK114" s="8" t="n">
        <v>0</v>
      </c>
      <c r="AL114" s="8" t="n">
        <v>0</v>
      </c>
      <c r="AM114" s="8" t="n">
        <v>0</v>
      </c>
      <c r="AN114" s="8" t="n">
        <v>0</v>
      </c>
      <c r="AO114" s="8" t="n">
        <v>0</v>
      </c>
      <c r="AP114" s="8" t="n">
        <v>0</v>
      </c>
      <c r="AQ114" s="8" t="n">
        <v>1</v>
      </c>
      <c r="AR114" s="8" t="n">
        <v>0</v>
      </c>
      <c r="AS114" s="8" t="n">
        <v>0</v>
      </c>
      <c r="AT114" s="8" t="n">
        <v>0</v>
      </c>
      <c r="AU114" s="8" t="n">
        <v>0</v>
      </c>
      <c r="AV114" s="8" t="n">
        <v>0</v>
      </c>
      <c r="AW114" s="8" t="n">
        <v>0</v>
      </c>
      <c r="AX114" s="8" t="n">
        <v>0</v>
      </c>
      <c r="AY114" s="8" t="n">
        <v>0</v>
      </c>
      <c r="AZ114" s="8" t="n">
        <v>3</v>
      </c>
      <c r="BA114" s="8" t="n">
        <v>3</v>
      </c>
      <c r="BB114" s="8" t="n">
        <v>0</v>
      </c>
      <c r="BC114" s="8" t="n">
        <v>0</v>
      </c>
      <c r="BD114" s="8" t="n">
        <v>0</v>
      </c>
      <c r="BE114" s="8" t="n">
        <v>0</v>
      </c>
      <c r="BF114" s="8" t="n">
        <v>0</v>
      </c>
      <c r="BG114" s="8" t="n">
        <v>0</v>
      </c>
      <c r="BH114" s="8" t="n">
        <v>0</v>
      </c>
      <c r="BI114" s="8" t="n">
        <v>0</v>
      </c>
      <c r="BJ114" s="8" t="n">
        <v>0</v>
      </c>
      <c r="BK114" s="8" t="n">
        <v>0</v>
      </c>
      <c r="BL114" s="8" t="n">
        <v>18</v>
      </c>
      <c r="BM114" s="8" t="n">
        <v>0</v>
      </c>
      <c r="BN114" s="8" t="n">
        <v>11</v>
      </c>
      <c r="BO114" s="8" t="n">
        <v>0</v>
      </c>
      <c r="BP114" s="8" t="n">
        <v>0</v>
      </c>
      <c r="BQ114" s="8" t="n">
        <v>0</v>
      </c>
      <c r="BR114" s="8" t="n">
        <v>0</v>
      </c>
      <c r="BS114" s="8" t="n">
        <v>0</v>
      </c>
      <c r="BT114" s="8" t="n">
        <v>0</v>
      </c>
      <c r="BU114" s="8" t="n">
        <v>0</v>
      </c>
      <c r="BV114" s="8" t="n">
        <v>0</v>
      </c>
      <c r="BW114" s="8" t="n">
        <v>4.5</v>
      </c>
      <c r="BX114" s="8" t="n">
        <v>0</v>
      </c>
      <c r="BY114" s="8" t="n">
        <v>0</v>
      </c>
      <c r="BZ114" s="8" t="n">
        <v>0</v>
      </c>
      <c r="CA114" s="8" t="n">
        <v>0</v>
      </c>
      <c r="CB114" s="8" t="n">
        <v>0</v>
      </c>
      <c r="CC114" s="8" t="n">
        <v>0</v>
      </c>
      <c r="CD114" s="8" t="n">
        <v>0</v>
      </c>
      <c r="CE114" s="8" t="n">
        <v>0</v>
      </c>
    </row>
    <row r="115">
      <c r="A115" s="15" t="inlineStr">
        <is>
          <t>2025-12-11</t>
        </is>
      </c>
      <c r="B115" s="11" t="n">
        <v>0</v>
      </c>
      <c r="C115" s="11" t="n">
        <v>0</v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3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  <c r="P115" s="11" t="n">
        <v>0</v>
      </c>
      <c r="Q115" s="11" t="n">
        <v>0</v>
      </c>
      <c r="R115" s="11" t="n">
        <v>10</v>
      </c>
      <c r="S115" s="11" t="n">
        <v>0</v>
      </c>
      <c r="T115" s="11" t="n">
        <v>0</v>
      </c>
      <c r="U115" s="11" t="n">
        <v>0</v>
      </c>
      <c r="V115" s="11" t="n">
        <v>4</v>
      </c>
      <c r="W115" s="11" t="n">
        <v>0</v>
      </c>
      <c r="X115" s="11" t="n">
        <v>0</v>
      </c>
      <c r="Y115" s="11" t="n">
        <v>0</v>
      </c>
      <c r="Z115" s="11" t="n">
        <v>0</v>
      </c>
      <c r="AA115" s="11" t="n">
        <v>0</v>
      </c>
      <c r="AB115" s="11" t="n">
        <v>0</v>
      </c>
      <c r="AC115" s="11" t="n">
        <v>0</v>
      </c>
      <c r="AD115" s="11" t="n">
        <v>0</v>
      </c>
      <c r="AE115" s="11" t="n">
        <v>0</v>
      </c>
      <c r="AF115" s="11" t="n">
        <v>12</v>
      </c>
      <c r="AG115" s="11" t="n">
        <v>1.5</v>
      </c>
      <c r="AH115" s="11" t="n">
        <v>1.85</v>
      </c>
      <c r="AI115" s="11" t="n">
        <v>0</v>
      </c>
      <c r="AJ115" s="11" t="n">
        <v>0</v>
      </c>
      <c r="AK115" s="11" t="n">
        <v>0</v>
      </c>
      <c r="AL115" s="11" t="n">
        <v>0</v>
      </c>
      <c r="AM115" s="11" t="n">
        <v>0</v>
      </c>
      <c r="AN115" s="11" t="n">
        <v>0</v>
      </c>
      <c r="AO115" s="11" t="n">
        <v>0</v>
      </c>
      <c r="AP115" s="11" t="n">
        <v>0</v>
      </c>
      <c r="AQ115" s="11" t="n">
        <v>1</v>
      </c>
      <c r="AR115" s="11" t="n">
        <v>0</v>
      </c>
      <c r="AS115" s="11" t="n">
        <v>0</v>
      </c>
      <c r="AT115" s="11" t="n">
        <v>0</v>
      </c>
      <c r="AU115" s="11" t="n">
        <v>0</v>
      </c>
      <c r="AV115" s="11" t="n">
        <v>0</v>
      </c>
      <c r="AW115" s="11" t="n">
        <v>0</v>
      </c>
      <c r="AX115" s="11" t="n">
        <v>0</v>
      </c>
      <c r="AY115" s="11" t="n">
        <v>0</v>
      </c>
      <c r="AZ115" s="11" t="n">
        <v>3</v>
      </c>
      <c r="BA115" s="11" t="n">
        <v>3</v>
      </c>
      <c r="BB115" s="11" t="n">
        <v>0</v>
      </c>
      <c r="BC115" s="11" t="n">
        <v>0</v>
      </c>
      <c r="BD115" s="11" t="n">
        <v>0</v>
      </c>
      <c r="BE115" s="11" t="n">
        <v>0</v>
      </c>
      <c r="BF115" s="11" t="n">
        <v>0</v>
      </c>
      <c r="BG115" s="11" t="n">
        <v>0</v>
      </c>
      <c r="BH115" s="11" t="n">
        <v>0</v>
      </c>
      <c r="BI115" s="11" t="n">
        <v>0</v>
      </c>
      <c r="BJ115" s="11" t="n">
        <v>0</v>
      </c>
      <c r="BK115" s="11" t="n">
        <v>0</v>
      </c>
      <c r="BL115" s="11" t="n">
        <v>18</v>
      </c>
      <c r="BM115" s="11" t="n">
        <v>0</v>
      </c>
      <c r="BN115" s="11" t="n">
        <v>11</v>
      </c>
      <c r="BO115" s="11" t="n">
        <v>0</v>
      </c>
      <c r="BP115" s="11" t="n">
        <v>0</v>
      </c>
      <c r="BQ115" s="11" t="n">
        <v>0</v>
      </c>
      <c r="BR115" s="11" t="n">
        <v>0</v>
      </c>
      <c r="BS115" s="11" t="n">
        <v>0</v>
      </c>
      <c r="BT115" s="11" t="n">
        <v>0</v>
      </c>
      <c r="BU115" s="11" t="n">
        <v>0</v>
      </c>
      <c r="BV115" s="11" t="n">
        <v>0</v>
      </c>
      <c r="BW115" s="11" t="n">
        <v>4.5</v>
      </c>
      <c r="BX115" s="11" t="n">
        <v>0</v>
      </c>
      <c r="BY115" s="11" t="n">
        <v>0</v>
      </c>
      <c r="BZ115" s="11" t="n">
        <v>0</v>
      </c>
      <c r="CA115" s="11" t="n">
        <v>0</v>
      </c>
      <c r="CB115" s="11" t="n">
        <v>0</v>
      </c>
      <c r="CC115" s="11" t="n">
        <v>0</v>
      </c>
      <c r="CD115" s="11" t="n">
        <v>0</v>
      </c>
      <c r="CE115" s="11" t="n">
        <v>0</v>
      </c>
    </row>
    <row r="116">
      <c r="A116" s="14" t="inlineStr">
        <is>
          <t>2025-12-12</t>
        </is>
      </c>
      <c r="B116" s="8" t="n">
        <v>0</v>
      </c>
      <c r="C116" s="8" t="n">
        <v>0</v>
      </c>
      <c r="D116" s="8" t="n">
        <v>0</v>
      </c>
      <c r="E116" s="8" t="n">
        <v>0</v>
      </c>
      <c r="F116" s="8" t="n">
        <v>0</v>
      </c>
      <c r="G116" s="8" t="n">
        <v>0</v>
      </c>
      <c r="H116" s="8" t="n">
        <v>0</v>
      </c>
      <c r="I116" s="8" t="n">
        <v>3</v>
      </c>
      <c r="J116" s="8" t="n">
        <v>0</v>
      </c>
      <c r="K116" s="8" t="n">
        <v>0</v>
      </c>
      <c r="L116" s="8" t="n">
        <v>0</v>
      </c>
      <c r="M116" s="8" t="n">
        <v>0</v>
      </c>
      <c r="N116" s="8" t="n">
        <v>0</v>
      </c>
      <c r="O116" s="8" t="n">
        <v>0</v>
      </c>
      <c r="P116" s="8" t="n">
        <v>0</v>
      </c>
      <c r="Q116" s="8" t="n">
        <v>0</v>
      </c>
      <c r="R116" s="8" t="n">
        <v>10</v>
      </c>
      <c r="S116" s="8" t="n">
        <v>0</v>
      </c>
      <c r="T116" s="8" t="n">
        <v>0</v>
      </c>
      <c r="U116" s="8" t="n">
        <v>0</v>
      </c>
      <c r="V116" s="8" t="n">
        <v>4</v>
      </c>
      <c r="W116" s="8" t="n">
        <v>0</v>
      </c>
      <c r="X116" s="8" t="n">
        <v>0</v>
      </c>
      <c r="Y116" s="8" t="n">
        <v>0</v>
      </c>
      <c r="Z116" s="8" t="n">
        <v>0</v>
      </c>
      <c r="AA116" s="8" t="n">
        <v>0</v>
      </c>
      <c r="AB116" s="8" t="n">
        <v>0</v>
      </c>
      <c r="AC116" s="8" t="n">
        <v>0</v>
      </c>
      <c r="AD116" s="8" t="n">
        <v>0</v>
      </c>
      <c r="AE116" s="8" t="n">
        <v>0</v>
      </c>
      <c r="AF116" s="8" t="n">
        <v>12</v>
      </c>
      <c r="AG116" s="8" t="n">
        <v>1.5</v>
      </c>
      <c r="AH116" s="8" t="n">
        <v>1.85</v>
      </c>
      <c r="AI116" s="8" t="n">
        <v>0</v>
      </c>
      <c r="AJ116" s="8" t="n">
        <v>0</v>
      </c>
      <c r="AK116" s="8" t="n">
        <v>0</v>
      </c>
      <c r="AL116" s="8" t="n">
        <v>0</v>
      </c>
      <c r="AM116" s="8" t="n">
        <v>0</v>
      </c>
      <c r="AN116" s="8" t="n">
        <v>0</v>
      </c>
      <c r="AO116" s="8" t="n">
        <v>0</v>
      </c>
      <c r="AP116" s="8" t="n">
        <v>0</v>
      </c>
      <c r="AQ116" s="8" t="n">
        <v>1</v>
      </c>
      <c r="AR116" s="8" t="n">
        <v>0</v>
      </c>
      <c r="AS116" s="8" t="n">
        <v>0</v>
      </c>
      <c r="AT116" s="8" t="n">
        <v>0</v>
      </c>
      <c r="AU116" s="8" t="n">
        <v>0</v>
      </c>
      <c r="AV116" s="8" t="n">
        <v>0</v>
      </c>
      <c r="AW116" s="8" t="n">
        <v>0</v>
      </c>
      <c r="AX116" s="8" t="n">
        <v>0</v>
      </c>
      <c r="AY116" s="8" t="n">
        <v>0</v>
      </c>
      <c r="AZ116" s="8" t="n">
        <v>3</v>
      </c>
      <c r="BA116" s="8" t="n">
        <v>3</v>
      </c>
      <c r="BB116" s="8" t="n">
        <v>0</v>
      </c>
      <c r="BC116" s="8" t="n">
        <v>0</v>
      </c>
      <c r="BD116" s="8" t="n">
        <v>0</v>
      </c>
      <c r="BE116" s="8" t="n">
        <v>0</v>
      </c>
      <c r="BF116" s="8" t="n">
        <v>0</v>
      </c>
      <c r="BG116" s="8" t="n">
        <v>0</v>
      </c>
      <c r="BH116" s="8" t="n">
        <v>0</v>
      </c>
      <c r="BI116" s="8" t="n">
        <v>0</v>
      </c>
      <c r="BJ116" s="8" t="n">
        <v>0</v>
      </c>
      <c r="BK116" s="8" t="n">
        <v>0</v>
      </c>
      <c r="BL116" s="8" t="n">
        <v>18</v>
      </c>
      <c r="BM116" s="8" t="n">
        <v>0</v>
      </c>
      <c r="BN116" s="8" t="n">
        <v>11</v>
      </c>
      <c r="BO116" s="8" t="n">
        <v>0</v>
      </c>
      <c r="BP116" s="8" t="n">
        <v>0</v>
      </c>
      <c r="BQ116" s="8" t="n">
        <v>0</v>
      </c>
      <c r="BR116" s="8" t="n">
        <v>0</v>
      </c>
      <c r="BS116" s="8" t="n">
        <v>0</v>
      </c>
      <c r="BT116" s="8" t="n">
        <v>0</v>
      </c>
      <c r="BU116" s="8" t="n">
        <v>0</v>
      </c>
      <c r="BV116" s="8" t="n">
        <v>0</v>
      </c>
      <c r="BW116" s="8" t="n">
        <v>4.5</v>
      </c>
      <c r="BX116" s="8" t="n">
        <v>0</v>
      </c>
      <c r="BY116" s="8" t="n">
        <v>0</v>
      </c>
      <c r="BZ116" s="8" t="n">
        <v>0</v>
      </c>
      <c r="CA116" s="8" t="n">
        <v>0</v>
      </c>
      <c r="CB116" s="8" t="n">
        <v>0</v>
      </c>
      <c r="CC116" s="8" t="n">
        <v>0</v>
      </c>
      <c r="CD116" s="8" t="n">
        <v>0</v>
      </c>
      <c r="CE116" s="8" t="n">
        <v>0</v>
      </c>
    </row>
    <row r="117">
      <c r="A117" s="15" t="inlineStr">
        <is>
          <t>2025-12-15</t>
        </is>
      </c>
      <c r="B117" s="11" t="n">
        <v>0</v>
      </c>
      <c r="C117" s="11" t="n">
        <v>0</v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3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  <c r="P117" s="11" t="n">
        <v>0</v>
      </c>
      <c r="Q117" s="11" t="n">
        <v>0</v>
      </c>
      <c r="R117" s="11" t="n">
        <v>10</v>
      </c>
      <c r="S117" s="11" t="n">
        <v>0</v>
      </c>
      <c r="T117" s="11" t="n">
        <v>0</v>
      </c>
      <c r="U117" s="11" t="n">
        <v>0</v>
      </c>
      <c r="V117" s="11" t="n">
        <v>4</v>
      </c>
      <c r="W117" s="11" t="n">
        <v>0</v>
      </c>
      <c r="X117" s="11" t="n">
        <v>0</v>
      </c>
      <c r="Y117" s="11" t="n">
        <v>0</v>
      </c>
      <c r="Z117" s="11" t="n">
        <v>0</v>
      </c>
      <c r="AA117" s="11" t="n">
        <v>0</v>
      </c>
      <c r="AB117" s="11" t="n">
        <v>0</v>
      </c>
      <c r="AC117" s="11" t="n">
        <v>0</v>
      </c>
      <c r="AD117" s="11" t="n">
        <v>0</v>
      </c>
      <c r="AE117" s="11" t="n">
        <v>0</v>
      </c>
      <c r="AF117" s="11" t="n">
        <v>12</v>
      </c>
      <c r="AG117" s="11" t="n">
        <v>1.5</v>
      </c>
      <c r="AH117" s="11" t="n">
        <v>1.85</v>
      </c>
      <c r="AI117" s="11" t="n">
        <v>0</v>
      </c>
      <c r="AJ117" s="11" t="n">
        <v>0</v>
      </c>
      <c r="AK117" s="11" t="n">
        <v>0</v>
      </c>
      <c r="AL117" s="11" t="n">
        <v>0</v>
      </c>
      <c r="AM117" s="11" t="n">
        <v>0</v>
      </c>
      <c r="AN117" s="11" t="n">
        <v>0</v>
      </c>
      <c r="AO117" s="11" t="n">
        <v>0</v>
      </c>
      <c r="AP117" s="11" t="n">
        <v>0</v>
      </c>
      <c r="AQ117" s="11" t="n">
        <v>1</v>
      </c>
      <c r="AR117" s="11" t="n">
        <v>0</v>
      </c>
      <c r="AS117" s="11" t="n">
        <v>0</v>
      </c>
      <c r="AT117" s="11" t="n">
        <v>0</v>
      </c>
      <c r="AU117" s="11" t="n">
        <v>0</v>
      </c>
      <c r="AV117" s="11" t="n">
        <v>0</v>
      </c>
      <c r="AW117" s="11" t="n">
        <v>0</v>
      </c>
      <c r="AX117" s="11" t="n">
        <v>0</v>
      </c>
      <c r="AY117" s="11" t="n">
        <v>0</v>
      </c>
      <c r="AZ117" s="11" t="n">
        <v>3</v>
      </c>
      <c r="BA117" s="11" t="n">
        <v>3</v>
      </c>
      <c r="BB117" s="11" t="n">
        <v>0</v>
      </c>
      <c r="BC117" s="11" t="n">
        <v>0</v>
      </c>
      <c r="BD117" s="11" t="n">
        <v>0</v>
      </c>
      <c r="BE117" s="11" t="n">
        <v>0</v>
      </c>
      <c r="BF117" s="11" t="n">
        <v>0</v>
      </c>
      <c r="BG117" s="11" t="n">
        <v>0</v>
      </c>
      <c r="BH117" s="11" t="n">
        <v>0</v>
      </c>
      <c r="BI117" s="11" t="n">
        <v>0</v>
      </c>
      <c r="BJ117" s="11" t="n">
        <v>0</v>
      </c>
      <c r="BK117" s="11" t="n">
        <v>0</v>
      </c>
      <c r="BL117" s="11" t="n">
        <v>18</v>
      </c>
      <c r="BM117" s="11" t="n">
        <v>0</v>
      </c>
      <c r="BN117" s="11" t="n">
        <v>11</v>
      </c>
      <c r="BO117" s="11" t="n">
        <v>0</v>
      </c>
      <c r="BP117" s="11" t="n">
        <v>0</v>
      </c>
      <c r="BQ117" s="11" t="n">
        <v>0</v>
      </c>
      <c r="BR117" s="11" t="n">
        <v>0</v>
      </c>
      <c r="BS117" s="11" t="n">
        <v>0</v>
      </c>
      <c r="BT117" s="11" t="n">
        <v>0</v>
      </c>
      <c r="BU117" s="11" t="n">
        <v>0</v>
      </c>
      <c r="BV117" s="11" t="n">
        <v>0</v>
      </c>
      <c r="BW117" s="11" t="n">
        <v>4.5</v>
      </c>
      <c r="BX117" s="11" t="n">
        <v>0</v>
      </c>
      <c r="BY117" s="11" t="n">
        <v>0</v>
      </c>
      <c r="BZ117" s="11" t="n">
        <v>0</v>
      </c>
      <c r="CA117" s="11" t="n">
        <v>0</v>
      </c>
      <c r="CB117" s="11" t="n">
        <v>0</v>
      </c>
      <c r="CC117" s="11" t="n">
        <v>0</v>
      </c>
      <c r="CD117" s="11" t="n">
        <v>0</v>
      </c>
      <c r="CE117" s="11" t="n">
        <v>0</v>
      </c>
    </row>
    <row r="118">
      <c r="A118" s="14" t="inlineStr">
        <is>
          <t>2025-12-16</t>
        </is>
      </c>
      <c r="B118" s="8" t="n">
        <v>0</v>
      </c>
      <c r="C118" s="8" t="n">
        <v>0</v>
      </c>
      <c r="D118" s="8" t="n">
        <v>0</v>
      </c>
      <c r="E118" s="8" t="n">
        <v>0</v>
      </c>
      <c r="F118" s="8" t="n">
        <v>0</v>
      </c>
      <c r="G118" s="8" t="n">
        <v>0</v>
      </c>
      <c r="H118" s="8" t="n">
        <v>0</v>
      </c>
      <c r="I118" s="8" t="n">
        <v>3</v>
      </c>
      <c r="J118" s="8" t="n">
        <v>0</v>
      </c>
      <c r="K118" s="8" t="n">
        <v>0</v>
      </c>
      <c r="L118" s="8" t="n">
        <v>0</v>
      </c>
      <c r="M118" s="8" t="n">
        <v>0</v>
      </c>
      <c r="N118" s="8" t="n">
        <v>0</v>
      </c>
      <c r="O118" s="8" t="n">
        <v>0</v>
      </c>
      <c r="P118" s="8" t="n">
        <v>0</v>
      </c>
      <c r="Q118" s="8" t="n">
        <v>0</v>
      </c>
      <c r="R118" s="8" t="n">
        <v>10</v>
      </c>
      <c r="S118" s="8" t="n">
        <v>0</v>
      </c>
      <c r="T118" s="8" t="n">
        <v>0</v>
      </c>
      <c r="U118" s="8" t="n">
        <v>0</v>
      </c>
      <c r="V118" s="8" t="n">
        <v>4</v>
      </c>
      <c r="W118" s="8" t="n">
        <v>0</v>
      </c>
      <c r="X118" s="8" t="n">
        <v>0</v>
      </c>
      <c r="Y118" s="8" t="n">
        <v>0</v>
      </c>
      <c r="Z118" s="8" t="n">
        <v>0</v>
      </c>
      <c r="AA118" s="8" t="n">
        <v>0</v>
      </c>
      <c r="AB118" s="8" t="n">
        <v>0</v>
      </c>
      <c r="AC118" s="8" t="n">
        <v>0</v>
      </c>
      <c r="AD118" s="8" t="n">
        <v>0</v>
      </c>
      <c r="AE118" s="8" t="n">
        <v>0</v>
      </c>
      <c r="AF118" s="8" t="n">
        <v>12</v>
      </c>
      <c r="AG118" s="8" t="n">
        <v>1.5</v>
      </c>
      <c r="AH118" s="8" t="n">
        <v>1.85</v>
      </c>
      <c r="AI118" s="8" t="n">
        <v>0</v>
      </c>
      <c r="AJ118" s="8" t="n">
        <v>0</v>
      </c>
      <c r="AK118" s="8" t="n">
        <v>0</v>
      </c>
      <c r="AL118" s="8" t="n">
        <v>0</v>
      </c>
      <c r="AM118" s="8" t="n">
        <v>0</v>
      </c>
      <c r="AN118" s="8" t="n">
        <v>0</v>
      </c>
      <c r="AO118" s="8" t="n">
        <v>0</v>
      </c>
      <c r="AP118" s="8" t="n">
        <v>0</v>
      </c>
      <c r="AQ118" s="8" t="n">
        <v>1</v>
      </c>
      <c r="AR118" s="8" t="n">
        <v>0</v>
      </c>
      <c r="AS118" s="8" t="n">
        <v>0</v>
      </c>
      <c r="AT118" s="8" t="n">
        <v>0</v>
      </c>
      <c r="AU118" s="8" t="n">
        <v>0</v>
      </c>
      <c r="AV118" s="8" t="n">
        <v>0</v>
      </c>
      <c r="AW118" s="8" t="n">
        <v>0</v>
      </c>
      <c r="AX118" s="8" t="n">
        <v>0</v>
      </c>
      <c r="AY118" s="8" t="n">
        <v>0</v>
      </c>
      <c r="AZ118" s="8" t="n">
        <v>3</v>
      </c>
      <c r="BA118" s="8" t="n">
        <v>3</v>
      </c>
      <c r="BB118" s="8" t="n">
        <v>0</v>
      </c>
      <c r="BC118" s="8" t="n">
        <v>0</v>
      </c>
      <c r="BD118" s="8" t="n">
        <v>0</v>
      </c>
      <c r="BE118" s="8" t="n">
        <v>0</v>
      </c>
      <c r="BF118" s="8" t="n">
        <v>0</v>
      </c>
      <c r="BG118" s="8" t="n">
        <v>0</v>
      </c>
      <c r="BH118" s="8" t="n">
        <v>0</v>
      </c>
      <c r="BI118" s="8" t="n">
        <v>0</v>
      </c>
      <c r="BJ118" s="8" t="n">
        <v>0</v>
      </c>
      <c r="BK118" s="8" t="n">
        <v>0</v>
      </c>
      <c r="BL118" s="8" t="n">
        <v>18</v>
      </c>
      <c r="BM118" s="8" t="n">
        <v>0</v>
      </c>
      <c r="BN118" s="8" t="n">
        <v>11</v>
      </c>
      <c r="BO118" s="8" t="n">
        <v>0</v>
      </c>
      <c r="BP118" s="8" t="n">
        <v>0</v>
      </c>
      <c r="BQ118" s="8" t="n">
        <v>0</v>
      </c>
      <c r="BR118" s="8" t="n">
        <v>0</v>
      </c>
      <c r="BS118" s="8" t="n">
        <v>0</v>
      </c>
      <c r="BT118" s="8" t="n">
        <v>0</v>
      </c>
      <c r="BU118" s="8" t="n">
        <v>0</v>
      </c>
      <c r="BV118" s="8" t="n">
        <v>0</v>
      </c>
      <c r="BW118" s="8" t="n">
        <v>4.5</v>
      </c>
      <c r="BX118" s="8" t="n">
        <v>0</v>
      </c>
      <c r="BY118" s="8" t="n">
        <v>0</v>
      </c>
      <c r="BZ118" s="8" t="n">
        <v>0</v>
      </c>
      <c r="CA118" s="8" t="n">
        <v>0</v>
      </c>
      <c r="CB118" s="8" t="n">
        <v>0</v>
      </c>
      <c r="CC118" s="8" t="n">
        <v>0</v>
      </c>
      <c r="CD118" s="8" t="n">
        <v>0</v>
      </c>
      <c r="CE118" s="8" t="n">
        <v>0</v>
      </c>
    </row>
    <row r="119">
      <c r="A119" s="15" t="inlineStr">
        <is>
          <t>2025-12-17</t>
        </is>
      </c>
      <c r="B119" s="11" t="n">
        <v>0</v>
      </c>
      <c r="C119" s="11" t="n">
        <v>0</v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3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  <c r="P119" s="11" t="n">
        <v>0</v>
      </c>
      <c r="Q119" s="11" t="n">
        <v>0</v>
      </c>
      <c r="R119" s="11" t="n">
        <v>10</v>
      </c>
      <c r="S119" s="11" t="n">
        <v>0</v>
      </c>
      <c r="T119" s="11" t="n">
        <v>0</v>
      </c>
      <c r="U119" s="11" t="n">
        <v>0</v>
      </c>
      <c r="V119" s="11" t="n">
        <v>4</v>
      </c>
      <c r="W119" s="11" t="n">
        <v>0</v>
      </c>
      <c r="X119" s="11" t="n">
        <v>0</v>
      </c>
      <c r="Y119" s="11" t="n">
        <v>0</v>
      </c>
      <c r="Z119" s="11" t="n">
        <v>0</v>
      </c>
      <c r="AA119" s="11" t="n">
        <v>0</v>
      </c>
      <c r="AB119" s="11" t="n">
        <v>0</v>
      </c>
      <c r="AC119" s="11" t="n">
        <v>0</v>
      </c>
      <c r="AD119" s="11" t="n">
        <v>0</v>
      </c>
      <c r="AE119" s="11" t="n">
        <v>0</v>
      </c>
      <c r="AF119" s="11" t="n">
        <v>12</v>
      </c>
      <c r="AG119" s="11" t="n">
        <v>1.5</v>
      </c>
      <c r="AH119" s="11" t="n">
        <v>1.85</v>
      </c>
      <c r="AI119" s="11" t="n">
        <v>0</v>
      </c>
      <c r="AJ119" s="11" t="n">
        <v>0</v>
      </c>
      <c r="AK119" s="11" t="n">
        <v>0</v>
      </c>
      <c r="AL119" s="11" t="n">
        <v>0</v>
      </c>
      <c r="AM119" s="11" t="n">
        <v>0</v>
      </c>
      <c r="AN119" s="11" t="n">
        <v>0</v>
      </c>
      <c r="AO119" s="11" t="n">
        <v>0</v>
      </c>
      <c r="AP119" s="11" t="n">
        <v>0</v>
      </c>
      <c r="AQ119" s="11" t="n">
        <v>1</v>
      </c>
      <c r="AR119" s="11" t="n">
        <v>0</v>
      </c>
      <c r="AS119" s="11" t="n">
        <v>0</v>
      </c>
      <c r="AT119" s="11" t="n">
        <v>0</v>
      </c>
      <c r="AU119" s="11" t="n">
        <v>0</v>
      </c>
      <c r="AV119" s="11" t="n">
        <v>0</v>
      </c>
      <c r="AW119" s="11" t="n">
        <v>0</v>
      </c>
      <c r="AX119" s="11" t="n">
        <v>0</v>
      </c>
      <c r="AY119" s="11" t="n">
        <v>0</v>
      </c>
      <c r="AZ119" s="11" t="n">
        <v>3</v>
      </c>
      <c r="BA119" s="11" t="n">
        <v>3</v>
      </c>
      <c r="BB119" s="11" t="n">
        <v>0</v>
      </c>
      <c r="BC119" s="11" t="n">
        <v>0</v>
      </c>
      <c r="BD119" s="11" t="n">
        <v>0</v>
      </c>
      <c r="BE119" s="11" t="n">
        <v>0</v>
      </c>
      <c r="BF119" s="11" t="n">
        <v>0</v>
      </c>
      <c r="BG119" s="11" t="n">
        <v>0</v>
      </c>
      <c r="BH119" s="11" t="n">
        <v>0</v>
      </c>
      <c r="BI119" s="11" t="n">
        <v>0</v>
      </c>
      <c r="BJ119" s="11" t="n">
        <v>0</v>
      </c>
      <c r="BK119" s="11" t="n">
        <v>0</v>
      </c>
      <c r="BL119" s="11" t="n">
        <v>18</v>
      </c>
      <c r="BM119" s="11" t="n">
        <v>0</v>
      </c>
      <c r="BN119" s="11" t="n">
        <v>11</v>
      </c>
      <c r="BO119" s="11" t="n">
        <v>0</v>
      </c>
      <c r="BP119" s="11" t="n">
        <v>0</v>
      </c>
      <c r="BQ119" s="11" t="n">
        <v>0</v>
      </c>
      <c r="BR119" s="11" t="n">
        <v>0</v>
      </c>
      <c r="BS119" s="11" t="n">
        <v>0</v>
      </c>
      <c r="BT119" s="11" t="n">
        <v>0</v>
      </c>
      <c r="BU119" s="11" t="n">
        <v>0</v>
      </c>
      <c r="BV119" s="11" t="n">
        <v>0</v>
      </c>
      <c r="BW119" s="11" t="n">
        <v>4.5</v>
      </c>
      <c r="BX119" s="11" t="n">
        <v>0</v>
      </c>
      <c r="BY119" s="11" t="n">
        <v>0</v>
      </c>
      <c r="BZ119" s="11" t="n">
        <v>0</v>
      </c>
      <c r="CA119" s="11" t="n">
        <v>0</v>
      </c>
      <c r="CB119" s="11" t="n">
        <v>0</v>
      </c>
      <c r="CC119" s="11" t="n">
        <v>0</v>
      </c>
      <c r="CD119" s="11" t="n">
        <v>0</v>
      </c>
      <c r="CE119" s="11" t="n">
        <v>0</v>
      </c>
    </row>
    <row r="120">
      <c r="A120" s="14" t="inlineStr">
        <is>
          <t>2025-12-18</t>
        </is>
      </c>
      <c r="B120" s="8" t="n">
        <v>0</v>
      </c>
      <c r="C120" s="8" t="n">
        <v>0</v>
      </c>
      <c r="D120" s="8" t="n">
        <v>0</v>
      </c>
      <c r="E120" s="8" t="n">
        <v>0</v>
      </c>
      <c r="F120" s="8" t="n">
        <v>0</v>
      </c>
      <c r="G120" s="8" t="n">
        <v>0</v>
      </c>
      <c r="H120" s="8" t="n">
        <v>0</v>
      </c>
      <c r="I120" s="8" t="n">
        <v>3</v>
      </c>
      <c r="J120" s="8" t="n">
        <v>0</v>
      </c>
      <c r="K120" s="8" t="n">
        <v>0</v>
      </c>
      <c r="L120" s="8" t="n">
        <v>0</v>
      </c>
      <c r="M120" s="8" t="n">
        <v>0</v>
      </c>
      <c r="N120" s="8" t="n">
        <v>0</v>
      </c>
      <c r="O120" s="8" t="n">
        <v>0</v>
      </c>
      <c r="P120" s="8" t="n">
        <v>0</v>
      </c>
      <c r="Q120" s="8" t="n">
        <v>0</v>
      </c>
      <c r="R120" s="8" t="n">
        <v>10</v>
      </c>
      <c r="S120" s="8" t="n">
        <v>0</v>
      </c>
      <c r="T120" s="8" t="n">
        <v>0</v>
      </c>
      <c r="U120" s="8" t="n">
        <v>0</v>
      </c>
      <c r="V120" s="8" t="n">
        <v>4</v>
      </c>
      <c r="W120" s="8" t="n">
        <v>0</v>
      </c>
      <c r="X120" s="8" t="n">
        <v>0</v>
      </c>
      <c r="Y120" s="8" t="n">
        <v>0</v>
      </c>
      <c r="Z120" s="8" t="n">
        <v>0</v>
      </c>
      <c r="AA120" s="8" t="n">
        <v>0</v>
      </c>
      <c r="AB120" s="8" t="n">
        <v>0</v>
      </c>
      <c r="AC120" s="8" t="n">
        <v>0</v>
      </c>
      <c r="AD120" s="8" t="n">
        <v>0</v>
      </c>
      <c r="AE120" s="8" t="n">
        <v>0</v>
      </c>
      <c r="AF120" s="8" t="n">
        <v>12</v>
      </c>
      <c r="AG120" s="8" t="n">
        <v>1.5</v>
      </c>
      <c r="AH120" s="8" t="n">
        <v>1.85</v>
      </c>
      <c r="AI120" s="8" t="n">
        <v>0</v>
      </c>
      <c r="AJ120" s="8" t="n">
        <v>0</v>
      </c>
      <c r="AK120" s="8" t="n">
        <v>0</v>
      </c>
      <c r="AL120" s="8" t="n">
        <v>0</v>
      </c>
      <c r="AM120" s="8" t="n">
        <v>0</v>
      </c>
      <c r="AN120" s="8" t="n">
        <v>0</v>
      </c>
      <c r="AO120" s="8" t="n">
        <v>0</v>
      </c>
      <c r="AP120" s="8" t="n">
        <v>0</v>
      </c>
      <c r="AQ120" s="8" t="n">
        <v>1</v>
      </c>
      <c r="AR120" s="8" t="n">
        <v>0</v>
      </c>
      <c r="AS120" s="8" t="n">
        <v>0</v>
      </c>
      <c r="AT120" s="8" t="n">
        <v>0</v>
      </c>
      <c r="AU120" s="8" t="n">
        <v>0</v>
      </c>
      <c r="AV120" s="8" t="n">
        <v>0</v>
      </c>
      <c r="AW120" s="8" t="n">
        <v>0</v>
      </c>
      <c r="AX120" s="8" t="n">
        <v>0</v>
      </c>
      <c r="AY120" s="8" t="n">
        <v>0</v>
      </c>
      <c r="AZ120" s="8" t="n">
        <v>3</v>
      </c>
      <c r="BA120" s="8" t="n">
        <v>3</v>
      </c>
      <c r="BB120" s="8" t="n">
        <v>0</v>
      </c>
      <c r="BC120" s="8" t="n">
        <v>0</v>
      </c>
      <c r="BD120" s="8" t="n">
        <v>0</v>
      </c>
      <c r="BE120" s="8" t="n">
        <v>0</v>
      </c>
      <c r="BF120" s="8" t="n">
        <v>0</v>
      </c>
      <c r="BG120" s="8" t="n">
        <v>0</v>
      </c>
      <c r="BH120" s="8" t="n">
        <v>0</v>
      </c>
      <c r="BI120" s="8" t="n">
        <v>0</v>
      </c>
      <c r="BJ120" s="8" t="n">
        <v>0</v>
      </c>
      <c r="BK120" s="8" t="n">
        <v>0</v>
      </c>
      <c r="BL120" s="8" t="n">
        <v>18</v>
      </c>
      <c r="BM120" s="8" t="n">
        <v>0</v>
      </c>
      <c r="BN120" s="8" t="n">
        <v>11</v>
      </c>
      <c r="BO120" s="8" t="n">
        <v>0</v>
      </c>
      <c r="BP120" s="8" t="n">
        <v>0</v>
      </c>
      <c r="BQ120" s="8" t="n">
        <v>0</v>
      </c>
      <c r="BR120" s="8" t="n">
        <v>0</v>
      </c>
      <c r="BS120" s="8" t="n">
        <v>0</v>
      </c>
      <c r="BT120" s="8" t="n">
        <v>0</v>
      </c>
      <c r="BU120" s="8" t="n">
        <v>0</v>
      </c>
      <c r="BV120" s="8" t="n">
        <v>0</v>
      </c>
      <c r="BW120" s="8" t="n">
        <v>4.5</v>
      </c>
      <c r="BX120" s="8" t="n">
        <v>0</v>
      </c>
      <c r="BY120" s="8" t="n">
        <v>0</v>
      </c>
      <c r="BZ120" s="8" t="n">
        <v>0</v>
      </c>
      <c r="CA120" s="8" t="n">
        <v>0</v>
      </c>
      <c r="CB120" s="8" t="n">
        <v>0</v>
      </c>
      <c r="CC120" s="8" t="n">
        <v>0</v>
      </c>
      <c r="CD120" s="8" t="n">
        <v>0</v>
      </c>
      <c r="CE120" s="8" t="n">
        <v>0</v>
      </c>
    </row>
    <row r="121">
      <c r="A121" s="15" t="inlineStr">
        <is>
          <t>2025-12-19</t>
        </is>
      </c>
      <c r="B121" s="11" t="n">
        <v>0</v>
      </c>
      <c r="C121" s="11" t="n">
        <v>0</v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3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  <c r="P121" s="11" t="n">
        <v>0</v>
      </c>
      <c r="Q121" s="11" t="n">
        <v>0</v>
      </c>
      <c r="R121" s="11" t="n">
        <v>10</v>
      </c>
      <c r="S121" s="11" t="n">
        <v>0</v>
      </c>
      <c r="T121" s="11" t="n">
        <v>0</v>
      </c>
      <c r="U121" s="11" t="n">
        <v>0</v>
      </c>
      <c r="V121" s="11" t="n">
        <v>4</v>
      </c>
      <c r="W121" s="11" t="n">
        <v>0</v>
      </c>
      <c r="X121" s="11" t="n">
        <v>0</v>
      </c>
      <c r="Y121" s="11" t="n">
        <v>0</v>
      </c>
      <c r="Z121" s="11" t="n">
        <v>0</v>
      </c>
      <c r="AA121" s="11" t="n">
        <v>0</v>
      </c>
      <c r="AB121" s="11" t="n">
        <v>0</v>
      </c>
      <c r="AC121" s="11" t="n">
        <v>0</v>
      </c>
      <c r="AD121" s="11" t="n">
        <v>0</v>
      </c>
      <c r="AE121" s="11" t="n">
        <v>0</v>
      </c>
      <c r="AF121" s="11" t="n">
        <v>12</v>
      </c>
      <c r="AG121" s="11" t="n">
        <v>1.5</v>
      </c>
      <c r="AH121" s="11" t="n">
        <v>1.85</v>
      </c>
      <c r="AI121" s="11" t="n">
        <v>0</v>
      </c>
      <c r="AJ121" s="11" t="n">
        <v>0</v>
      </c>
      <c r="AK121" s="11" t="n">
        <v>0</v>
      </c>
      <c r="AL121" s="11" t="n">
        <v>0</v>
      </c>
      <c r="AM121" s="11" t="n">
        <v>0</v>
      </c>
      <c r="AN121" s="11" t="n">
        <v>0</v>
      </c>
      <c r="AO121" s="11" t="n">
        <v>0</v>
      </c>
      <c r="AP121" s="11" t="n">
        <v>0</v>
      </c>
      <c r="AQ121" s="11" t="n">
        <v>1</v>
      </c>
      <c r="AR121" s="11" t="n">
        <v>0</v>
      </c>
      <c r="AS121" s="11" t="n">
        <v>0</v>
      </c>
      <c r="AT121" s="11" t="n">
        <v>0</v>
      </c>
      <c r="AU121" s="11" t="n">
        <v>0</v>
      </c>
      <c r="AV121" s="11" t="n">
        <v>0</v>
      </c>
      <c r="AW121" s="11" t="n">
        <v>0</v>
      </c>
      <c r="AX121" s="11" t="n">
        <v>0</v>
      </c>
      <c r="AY121" s="11" t="n">
        <v>0</v>
      </c>
      <c r="AZ121" s="11" t="n">
        <v>3</v>
      </c>
      <c r="BA121" s="11" t="n">
        <v>3</v>
      </c>
      <c r="BB121" s="11" t="n">
        <v>0</v>
      </c>
      <c r="BC121" s="11" t="n">
        <v>0</v>
      </c>
      <c r="BD121" s="11" t="n">
        <v>0</v>
      </c>
      <c r="BE121" s="11" t="n">
        <v>0</v>
      </c>
      <c r="BF121" s="11" t="n">
        <v>0</v>
      </c>
      <c r="BG121" s="11" t="n">
        <v>0</v>
      </c>
      <c r="BH121" s="11" t="n">
        <v>0</v>
      </c>
      <c r="BI121" s="11" t="n">
        <v>0</v>
      </c>
      <c r="BJ121" s="11" t="n">
        <v>0</v>
      </c>
      <c r="BK121" s="11" t="n">
        <v>0</v>
      </c>
      <c r="BL121" s="11" t="n">
        <v>18</v>
      </c>
      <c r="BM121" s="11" t="n">
        <v>0</v>
      </c>
      <c r="BN121" s="11" t="n">
        <v>11</v>
      </c>
      <c r="BO121" s="11" t="n">
        <v>0</v>
      </c>
      <c r="BP121" s="11" t="n">
        <v>0</v>
      </c>
      <c r="BQ121" s="11" t="n">
        <v>0</v>
      </c>
      <c r="BR121" s="11" t="n">
        <v>0</v>
      </c>
      <c r="BS121" s="11" t="n">
        <v>0</v>
      </c>
      <c r="BT121" s="11" t="n">
        <v>0</v>
      </c>
      <c r="BU121" s="11" t="n">
        <v>0</v>
      </c>
      <c r="BV121" s="11" t="n">
        <v>0</v>
      </c>
      <c r="BW121" s="11" t="n">
        <v>4.5</v>
      </c>
      <c r="BX121" s="11" t="n">
        <v>0</v>
      </c>
      <c r="BY121" s="11" t="n">
        <v>0</v>
      </c>
      <c r="BZ121" s="11" t="n">
        <v>0</v>
      </c>
      <c r="CA121" s="11" t="n">
        <v>0</v>
      </c>
      <c r="CB121" s="11" t="n">
        <v>0</v>
      </c>
      <c r="CC121" s="11" t="n">
        <v>0</v>
      </c>
      <c r="CD121" s="11" t="n">
        <v>0</v>
      </c>
      <c r="CE121" s="11" t="n">
        <v>0</v>
      </c>
    </row>
    <row r="122">
      <c r="A122" s="14" t="inlineStr">
        <is>
          <t>2025-12-22</t>
        </is>
      </c>
      <c r="B122" s="8" t="n">
        <v>0</v>
      </c>
      <c r="C122" s="8" t="n">
        <v>0</v>
      </c>
      <c r="D122" s="8" t="n">
        <v>0</v>
      </c>
      <c r="E122" s="8" t="n">
        <v>0</v>
      </c>
      <c r="F122" s="8" t="n">
        <v>0</v>
      </c>
      <c r="G122" s="8" t="n">
        <v>0</v>
      </c>
      <c r="H122" s="8" t="n">
        <v>0</v>
      </c>
      <c r="I122" s="8" t="n">
        <v>3</v>
      </c>
      <c r="J122" s="8" t="n">
        <v>0</v>
      </c>
      <c r="K122" s="8" t="n">
        <v>0</v>
      </c>
      <c r="L122" s="8" t="n">
        <v>0</v>
      </c>
      <c r="M122" s="8" t="n">
        <v>0</v>
      </c>
      <c r="N122" s="8" t="n">
        <v>0</v>
      </c>
      <c r="O122" s="8" t="n">
        <v>0</v>
      </c>
      <c r="P122" s="8" t="n">
        <v>0</v>
      </c>
      <c r="Q122" s="8" t="n">
        <v>0</v>
      </c>
      <c r="R122" s="8" t="n">
        <v>10</v>
      </c>
      <c r="S122" s="8" t="n">
        <v>0</v>
      </c>
      <c r="T122" s="8" t="n">
        <v>0</v>
      </c>
      <c r="U122" s="8" t="n">
        <v>0</v>
      </c>
      <c r="V122" s="8" t="n">
        <v>4</v>
      </c>
      <c r="W122" s="8" t="n">
        <v>0</v>
      </c>
      <c r="X122" s="8" t="n">
        <v>0</v>
      </c>
      <c r="Y122" s="8" t="n">
        <v>0</v>
      </c>
      <c r="Z122" s="8" t="n">
        <v>0</v>
      </c>
      <c r="AA122" s="8" t="n">
        <v>0</v>
      </c>
      <c r="AB122" s="8" t="n">
        <v>0</v>
      </c>
      <c r="AC122" s="8" t="n">
        <v>0</v>
      </c>
      <c r="AD122" s="8" t="n">
        <v>0</v>
      </c>
      <c r="AE122" s="8" t="n">
        <v>0</v>
      </c>
      <c r="AF122" s="8" t="n">
        <v>12</v>
      </c>
      <c r="AG122" s="8" t="n">
        <v>1.5</v>
      </c>
      <c r="AH122" s="8" t="n">
        <v>1.85</v>
      </c>
      <c r="AI122" s="8" t="n">
        <v>0</v>
      </c>
      <c r="AJ122" s="8" t="n">
        <v>0</v>
      </c>
      <c r="AK122" s="8" t="n">
        <v>0</v>
      </c>
      <c r="AL122" s="8" t="n">
        <v>0</v>
      </c>
      <c r="AM122" s="8" t="n">
        <v>0</v>
      </c>
      <c r="AN122" s="8" t="n">
        <v>0</v>
      </c>
      <c r="AO122" s="8" t="n">
        <v>0</v>
      </c>
      <c r="AP122" s="8" t="n">
        <v>0</v>
      </c>
      <c r="AQ122" s="8" t="n">
        <v>1</v>
      </c>
      <c r="AR122" s="8" t="n">
        <v>0</v>
      </c>
      <c r="AS122" s="8" t="n">
        <v>0</v>
      </c>
      <c r="AT122" s="8" t="n">
        <v>0</v>
      </c>
      <c r="AU122" s="8" t="n">
        <v>0</v>
      </c>
      <c r="AV122" s="8" t="n">
        <v>0</v>
      </c>
      <c r="AW122" s="8" t="n">
        <v>0</v>
      </c>
      <c r="AX122" s="8" t="n">
        <v>0</v>
      </c>
      <c r="AY122" s="8" t="n">
        <v>0</v>
      </c>
      <c r="AZ122" s="8" t="n">
        <v>3</v>
      </c>
      <c r="BA122" s="8" t="n">
        <v>3</v>
      </c>
      <c r="BB122" s="8" t="n">
        <v>0</v>
      </c>
      <c r="BC122" s="8" t="n">
        <v>0</v>
      </c>
      <c r="BD122" s="8" t="n">
        <v>0</v>
      </c>
      <c r="BE122" s="8" t="n">
        <v>0</v>
      </c>
      <c r="BF122" s="8" t="n">
        <v>0</v>
      </c>
      <c r="BG122" s="8" t="n">
        <v>0</v>
      </c>
      <c r="BH122" s="8" t="n">
        <v>0</v>
      </c>
      <c r="BI122" s="8" t="n">
        <v>0</v>
      </c>
      <c r="BJ122" s="8" t="n">
        <v>0</v>
      </c>
      <c r="BK122" s="8" t="n">
        <v>0</v>
      </c>
      <c r="BL122" s="8" t="n">
        <v>18</v>
      </c>
      <c r="BM122" s="8" t="n">
        <v>0</v>
      </c>
      <c r="BN122" s="8" t="n">
        <v>11</v>
      </c>
      <c r="BO122" s="8" t="n">
        <v>0</v>
      </c>
      <c r="BP122" s="8" t="n">
        <v>0</v>
      </c>
      <c r="BQ122" s="8" t="n">
        <v>0</v>
      </c>
      <c r="BR122" s="8" t="n">
        <v>0</v>
      </c>
      <c r="BS122" s="8" t="n">
        <v>0</v>
      </c>
      <c r="BT122" s="8" t="n">
        <v>0</v>
      </c>
      <c r="BU122" s="8" t="n">
        <v>0</v>
      </c>
      <c r="BV122" s="8" t="n">
        <v>0</v>
      </c>
      <c r="BW122" s="8" t="n">
        <v>4.5</v>
      </c>
      <c r="BX122" s="8" t="n">
        <v>0</v>
      </c>
      <c r="BY122" s="8" t="n">
        <v>0</v>
      </c>
      <c r="BZ122" s="8" t="n">
        <v>0</v>
      </c>
      <c r="CA122" s="8" t="n">
        <v>0</v>
      </c>
      <c r="CB122" s="8" t="n">
        <v>0</v>
      </c>
      <c r="CC122" s="8" t="n">
        <v>0</v>
      </c>
      <c r="CD122" s="8" t="n">
        <v>0</v>
      </c>
      <c r="CE122" s="8" t="n">
        <v>0</v>
      </c>
    </row>
    <row r="123">
      <c r="A123" s="15" t="inlineStr">
        <is>
          <t>2025-12-23</t>
        </is>
      </c>
      <c r="B123" s="11" t="n">
        <v>0</v>
      </c>
      <c r="C123" s="11" t="n">
        <v>0</v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3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  <c r="P123" s="11" t="n">
        <v>0</v>
      </c>
      <c r="Q123" s="11" t="n">
        <v>0</v>
      </c>
      <c r="R123" s="11" t="n">
        <v>10</v>
      </c>
      <c r="S123" s="11" t="n">
        <v>0</v>
      </c>
      <c r="T123" s="11" t="n">
        <v>0</v>
      </c>
      <c r="U123" s="11" t="n">
        <v>0</v>
      </c>
      <c r="V123" s="11" t="n">
        <v>4</v>
      </c>
      <c r="W123" s="11" t="n">
        <v>0</v>
      </c>
      <c r="X123" s="11" t="n">
        <v>0</v>
      </c>
      <c r="Y123" s="11" t="n">
        <v>0</v>
      </c>
      <c r="Z123" s="11" t="n">
        <v>0</v>
      </c>
      <c r="AA123" s="11" t="n">
        <v>0</v>
      </c>
      <c r="AB123" s="11" t="n">
        <v>0</v>
      </c>
      <c r="AC123" s="11" t="n">
        <v>0</v>
      </c>
      <c r="AD123" s="11" t="n">
        <v>0</v>
      </c>
      <c r="AE123" s="11" t="n">
        <v>0</v>
      </c>
      <c r="AF123" s="11" t="n">
        <v>12</v>
      </c>
      <c r="AG123" s="11" t="n">
        <v>1.5</v>
      </c>
      <c r="AH123" s="11" t="n">
        <v>1.85</v>
      </c>
      <c r="AI123" s="11" t="n">
        <v>0</v>
      </c>
      <c r="AJ123" s="11" t="n">
        <v>0</v>
      </c>
      <c r="AK123" s="11" t="n">
        <v>0</v>
      </c>
      <c r="AL123" s="11" t="n">
        <v>0</v>
      </c>
      <c r="AM123" s="11" t="n">
        <v>0</v>
      </c>
      <c r="AN123" s="11" t="n">
        <v>0</v>
      </c>
      <c r="AO123" s="11" t="n">
        <v>0</v>
      </c>
      <c r="AP123" s="11" t="n">
        <v>0</v>
      </c>
      <c r="AQ123" s="11" t="n">
        <v>1</v>
      </c>
      <c r="AR123" s="11" t="n">
        <v>0</v>
      </c>
      <c r="AS123" s="11" t="n">
        <v>0</v>
      </c>
      <c r="AT123" s="11" t="n">
        <v>0</v>
      </c>
      <c r="AU123" s="11" t="n">
        <v>0</v>
      </c>
      <c r="AV123" s="11" t="n">
        <v>0</v>
      </c>
      <c r="AW123" s="11" t="n">
        <v>0</v>
      </c>
      <c r="AX123" s="11" t="n">
        <v>0</v>
      </c>
      <c r="AY123" s="11" t="n">
        <v>0</v>
      </c>
      <c r="AZ123" s="11" t="n">
        <v>3</v>
      </c>
      <c r="BA123" s="11" t="n">
        <v>3</v>
      </c>
      <c r="BB123" s="11" t="n">
        <v>0</v>
      </c>
      <c r="BC123" s="11" t="n">
        <v>0</v>
      </c>
      <c r="BD123" s="11" t="n">
        <v>0</v>
      </c>
      <c r="BE123" s="11" t="n">
        <v>0</v>
      </c>
      <c r="BF123" s="11" t="n">
        <v>0</v>
      </c>
      <c r="BG123" s="11" t="n">
        <v>0</v>
      </c>
      <c r="BH123" s="11" t="n">
        <v>0</v>
      </c>
      <c r="BI123" s="11" t="n">
        <v>0</v>
      </c>
      <c r="BJ123" s="11" t="n">
        <v>0</v>
      </c>
      <c r="BK123" s="11" t="n">
        <v>0</v>
      </c>
      <c r="BL123" s="11" t="n">
        <v>18</v>
      </c>
      <c r="BM123" s="11" t="n">
        <v>0</v>
      </c>
      <c r="BN123" s="11" t="n">
        <v>11</v>
      </c>
      <c r="BO123" s="11" t="n">
        <v>0</v>
      </c>
      <c r="BP123" s="11" t="n">
        <v>0</v>
      </c>
      <c r="BQ123" s="11" t="n">
        <v>0</v>
      </c>
      <c r="BR123" s="11" t="n">
        <v>0</v>
      </c>
      <c r="BS123" s="11" t="n">
        <v>0</v>
      </c>
      <c r="BT123" s="11" t="n">
        <v>0</v>
      </c>
      <c r="BU123" s="11" t="n">
        <v>0</v>
      </c>
      <c r="BV123" s="11" t="n">
        <v>0</v>
      </c>
      <c r="BW123" s="11" t="n">
        <v>4.5</v>
      </c>
      <c r="BX123" s="11" t="n">
        <v>0</v>
      </c>
      <c r="BY123" s="11" t="n">
        <v>0</v>
      </c>
      <c r="BZ123" s="11" t="n">
        <v>0</v>
      </c>
      <c r="CA123" s="11" t="n">
        <v>0</v>
      </c>
      <c r="CB123" s="11" t="n">
        <v>0</v>
      </c>
      <c r="CC123" s="11" t="n">
        <v>0</v>
      </c>
      <c r="CD123" s="11" t="n">
        <v>0</v>
      </c>
      <c r="CE123" s="11" t="n">
        <v>0</v>
      </c>
    </row>
    <row r="124">
      <c r="A124" s="14" t="inlineStr">
        <is>
          <t>2025-12-24</t>
        </is>
      </c>
      <c r="B124" s="8" t="n">
        <v>0</v>
      </c>
      <c r="C124" s="8" t="n">
        <v>0</v>
      </c>
      <c r="D124" s="8" t="n">
        <v>0</v>
      </c>
      <c r="E124" s="8" t="n">
        <v>0</v>
      </c>
      <c r="F124" s="8" t="n">
        <v>0</v>
      </c>
      <c r="G124" s="8" t="n">
        <v>0</v>
      </c>
      <c r="H124" s="8" t="n">
        <v>0</v>
      </c>
      <c r="I124" s="8" t="n">
        <v>3</v>
      </c>
      <c r="J124" s="8" t="n">
        <v>0</v>
      </c>
      <c r="K124" s="8" t="n">
        <v>0</v>
      </c>
      <c r="L124" s="8" t="n">
        <v>0</v>
      </c>
      <c r="M124" s="8" t="n">
        <v>0</v>
      </c>
      <c r="N124" s="8" t="n">
        <v>0</v>
      </c>
      <c r="O124" s="8" t="n">
        <v>0</v>
      </c>
      <c r="P124" s="8" t="n">
        <v>0</v>
      </c>
      <c r="Q124" s="8" t="n">
        <v>0</v>
      </c>
      <c r="R124" s="8" t="n">
        <v>10</v>
      </c>
      <c r="S124" s="8" t="n">
        <v>0</v>
      </c>
      <c r="T124" s="8" t="n">
        <v>0</v>
      </c>
      <c r="U124" s="8" t="n">
        <v>0</v>
      </c>
      <c r="V124" s="8" t="n">
        <v>4</v>
      </c>
      <c r="W124" s="8" t="n">
        <v>0</v>
      </c>
      <c r="X124" s="8" t="n">
        <v>0</v>
      </c>
      <c r="Y124" s="8" t="n">
        <v>0</v>
      </c>
      <c r="Z124" s="8" t="n">
        <v>0</v>
      </c>
      <c r="AA124" s="8" t="n">
        <v>0</v>
      </c>
      <c r="AB124" s="8" t="n">
        <v>0</v>
      </c>
      <c r="AC124" s="8" t="n">
        <v>0</v>
      </c>
      <c r="AD124" s="8" t="n">
        <v>0</v>
      </c>
      <c r="AE124" s="8" t="n">
        <v>0</v>
      </c>
      <c r="AF124" s="8" t="n">
        <v>12</v>
      </c>
      <c r="AG124" s="8" t="n">
        <v>1.5</v>
      </c>
      <c r="AH124" s="8" t="n">
        <v>1.85</v>
      </c>
      <c r="AI124" s="8" t="n">
        <v>0</v>
      </c>
      <c r="AJ124" s="8" t="n">
        <v>0</v>
      </c>
      <c r="AK124" s="8" t="n">
        <v>0</v>
      </c>
      <c r="AL124" s="8" t="n">
        <v>0</v>
      </c>
      <c r="AM124" s="8" t="n">
        <v>0</v>
      </c>
      <c r="AN124" s="8" t="n">
        <v>0</v>
      </c>
      <c r="AO124" s="8" t="n">
        <v>0</v>
      </c>
      <c r="AP124" s="8" t="n">
        <v>0</v>
      </c>
      <c r="AQ124" s="8" t="n">
        <v>1</v>
      </c>
      <c r="AR124" s="8" t="n">
        <v>0</v>
      </c>
      <c r="AS124" s="8" t="n">
        <v>0</v>
      </c>
      <c r="AT124" s="8" t="n">
        <v>0</v>
      </c>
      <c r="AU124" s="8" t="n">
        <v>0</v>
      </c>
      <c r="AV124" s="8" t="n">
        <v>0</v>
      </c>
      <c r="AW124" s="8" t="n">
        <v>0</v>
      </c>
      <c r="AX124" s="8" t="n">
        <v>0</v>
      </c>
      <c r="AY124" s="8" t="n">
        <v>0</v>
      </c>
      <c r="AZ124" s="8" t="n">
        <v>3</v>
      </c>
      <c r="BA124" s="8" t="n">
        <v>3</v>
      </c>
      <c r="BB124" s="8" t="n">
        <v>0</v>
      </c>
      <c r="BC124" s="8" t="n">
        <v>0</v>
      </c>
      <c r="BD124" s="8" t="n">
        <v>0</v>
      </c>
      <c r="BE124" s="8" t="n">
        <v>0</v>
      </c>
      <c r="BF124" s="8" t="n">
        <v>0</v>
      </c>
      <c r="BG124" s="8" t="n">
        <v>0</v>
      </c>
      <c r="BH124" s="8" t="n">
        <v>0</v>
      </c>
      <c r="BI124" s="8" t="n">
        <v>0</v>
      </c>
      <c r="BJ124" s="8" t="n">
        <v>0</v>
      </c>
      <c r="BK124" s="8" t="n">
        <v>0</v>
      </c>
      <c r="BL124" s="8" t="n">
        <v>18</v>
      </c>
      <c r="BM124" s="8" t="n">
        <v>0</v>
      </c>
      <c r="BN124" s="8" t="n">
        <v>11</v>
      </c>
      <c r="BO124" s="8" t="n">
        <v>0</v>
      </c>
      <c r="BP124" s="8" t="n">
        <v>0</v>
      </c>
      <c r="BQ124" s="8" t="n">
        <v>0</v>
      </c>
      <c r="BR124" s="8" t="n">
        <v>0</v>
      </c>
      <c r="BS124" s="8" t="n">
        <v>0</v>
      </c>
      <c r="BT124" s="8" t="n">
        <v>0</v>
      </c>
      <c r="BU124" s="8" t="n">
        <v>0</v>
      </c>
      <c r="BV124" s="8" t="n">
        <v>0</v>
      </c>
      <c r="BW124" s="8" t="n">
        <v>4.5</v>
      </c>
      <c r="BX124" s="8" t="n">
        <v>0</v>
      </c>
      <c r="BY124" s="8" t="n">
        <v>0</v>
      </c>
      <c r="BZ124" s="8" t="n">
        <v>0</v>
      </c>
      <c r="CA124" s="8" t="n">
        <v>0</v>
      </c>
      <c r="CB124" s="8" t="n">
        <v>0</v>
      </c>
      <c r="CC124" s="8" t="n">
        <v>0</v>
      </c>
      <c r="CD124" s="8" t="n">
        <v>0</v>
      </c>
      <c r="CE124" s="8" t="n">
        <v>0</v>
      </c>
    </row>
    <row r="125">
      <c r="A125" s="15" t="inlineStr">
        <is>
          <t>2025-12-25</t>
        </is>
      </c>
      <c r="B125" s="11" t="n">
        <v>0</v>
      </c>
      <c r="C125" s="11" t="n">
        <v>0</v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3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  <c r="P125" s="11" t="n">
        <v>0</v>
      </c>
      <c r="Q125" s="11" t="n">
        <v>0</v>
      </c>
      <c r="R125" s="11" t="n">
        <v>10</v>
      </c>
      <c r="S125" s="11" t="n">
        <v>0</v>
      </c>
      <c r="T125" s="11" t="n">
        <v>0</v>
      </c>
      <c r="U125" s="11" t="n">
        <v>0</v>
      </c>
      <c r="V125" s="11" t="n">
        <v>4</v>
      </c>
      <c r="W125" s="11" t="n">
        <v>0</v>
      </c>
      <c r="X125" s="11" t="n">
        <v>0</v>
      </c>
      <c r="Y125" s="11" t="n">
        <v>0</v>
      </c>
      <c r="Z125" s="11" t="n">
        <v>0</v>
      </c>
      <c r="AA125" s="11" t="n">
        <v>0</v>
      </c>
      <c r="AB125" s="11" t="n">
        <v>0</v>
      </c>
      <c r="AC125" s="11" t="n">
        <v>0</v>
      </c>
      <c r="AD125" s="11" t="n">
        <v>0</v>
      </c>
      <c r="AE125" s="11" t="n">
        <v>0</v>
      </c>
      <c r="AF125" s="11" t="n">
        <v>12</v>
      </c>
      <c r="AG125" s="11" t="n">
        <v>1.5</v>
      </c>
      <c r="AH125" s="11" t="n">
        <v>1.85</v>
      </c>
      <c r="AI125" s="11" t="n">
        <v>0</v>
      </c>
      <c r="AJ125" s="11" t="n">
        <v>0</v>
      </c>
      <c r="AK125" s="11" t="n">
        <v>0</v>
      </c>
      <c r="AL125" s="11" t="n">
        <v>0</v>
      </c>
      <c r="AM125" s="11" t="n">
        <v>0</v>
      </c>
      <c r="AN125" s="11" t="n">
        <v>0</v>
      </c>
      <c r="AO125" s="11" t="n">
        <v>0</v>
      </c>
      <c r="AP125" s="11" t="n">
        <v>0</v>
      </c>
      <c r="AQ125" s="11" t="n">
        <v>1</v>
      </c>
      <c r="AR125" s="11" t="n">
        <v>0</v>
      </c>
      <c r="AS125" s="11" t="n">
        <v>0</v>
      </c>
      <c r="AT125" s="11" t="n">
        <v>0</v>
      </c>
      <c r="AU125" s="11" t="n">
        <v>0</v>
      </c>
      <c r="AV125" s="11" t="n">
        <v>0</v>
      </c>
      <c r="AW125" s="11" t="n">
        <v>0</v>
      </c>
      <c r="AX125" s="11" t="n">
        <v>0</v>
      </c>
      <c r="AY125" s="11" t="n">
        <v>0</v>
      </c>
      <c r="AZ125" s="11" t="n">
        <v>3</v>
      </c>
      <c r="BA125" s="11" t="n">
        <v>3</v>
      </c>
      <c r="BB125" s="11" t="n">
        <v>0</v>
      </c>
      <c r="BC125" s="11" t="n">
        <v>0</v>
      </c>
      <c r="BD125" s="11" t="n">
        <v>0</v>
      </c>
      <c r="BE125" s="11" t="n">
        <v>0</v>
      </c>
      <c r="BF125" s="11" t="n">
        <v>0</v>
      </c>
      <c r="BG125" s="11" t="n">
        <v>0</v>
      </c>
      <c r="BH125" s="11" t="n">
        <v>0</v>
      </c>
      <c r="BI125" s="11" t="n">
        <v>0</v>
      </c>
      <c r="BJ125" s="11" t="n">
        <v>0</v>
      </c>
      <c r="BK125" s="11" t="n">
        <v>0</v>
      </c>
      <c r="BL125" s="11" t="n">
        <v>18</v>
      </c>
      <c r="BM125" s="11" t="n">
        <v>0</v>
      </c>
      <c r="BN125" s="11" t="n">
        <v>11</v>
      </c>
      <c r="BO125" s="11" t="n">
        <v>0</v>
      </c>
      <c r="BP125" s="11" t="n">
        <v>0</v>
      </c>
      <c r="BQ125" s="11" t="n">
        <v>0</v>
      </c>
      <c r="BR125" s="11" t="n">
        <v>0</v>
      </c>
      <c r="BS125" s="11" t="n">
        <v>0</v>
      </c>
      <c r="BT125" s="11" t="n">
        <v>0</v>
      </c>
      <c r="BU125" s="11" t="n">
        <v>0</v>
      </c>
      <c r="BV125" s="11" t="n">
        <v>0</v>
      </c>
      <c r="BW125" s="11" t="n">
        <v>4.5</v>
      </c>
      <c r="BX125" s="11" t="n">
        <v>0</v>
      </c>
      <c r="BY125" s="11" t="n">
        <v>0</v>
      </c>
      <c r="BZ125" s="11" t="n">
        <v>0</v>
      </c>
      <c r="CA125" s="11" t="n">
        <v>0</v>
      </c>
      <c r="CB125" s="11" t="n">
        <v>0</v>
      </c>
      <c r="CC125" s="11" t="n">
        <v>0</v>
      </c>
      <c r="CD125" s="11" t="n">
        <v>0</v>
      </c>
      <c r="CE125" s="11" t="n">
        <v>0</v>
      </c>
    </row>
    <row r="126">
      <c r="A126" s="14" t="inlineStr">
        <is>
          <t>2025-12-26</t>
        </is>
      </c>
      <c r="B126" s="8" t="n">
        <v>0</v>
      </c>
      <c r="C126" s="8" t="n">
        <v>0</v>
      </c>
      <c r="D126" s="8" t="n">
        <v>0</v>
      </c>
      <c r="E126" s="8" t="n">
        <v>0</v>
      </c>
      <c r="F126" s="8" t="n">
        <v>0</v>
      </c>
      <c r="G126" s="8" t="n">
        <v>0</v>
      </c>
      <c r="H126" s="8" t="n">
        <v>0</v>
      </c>
      <c r="I126" s="8" t="n">
        <v>3</v>
      </c>
      <c r="J126" s="8" t="n">
        <v>0</v>
      </c>
      <c r="K126" s="8" t="n">
        <v>0</v>
      </c>
      <c r="L126" s="8" t="n">
        <v>0</v>
      </c>
      <c r="M126" s="8" t="n">
        <v>0</v>
      </c>
      <c r="N126" s="8" t="n">
        <v>0</v>
      </c>
      <c r="O126" s="8" t="n">
        <v>0</v>
      </c>
      <c r="P126" s="8" t="n">
        <v>0</v>
      </c>
      <c r="Q126" s="8" t="n">
        <v>0</v>
      </c>
      <c r="R126" s="8" t="n">
        <v>10</v>
      </c>
      <c r="S126" s="8" t="n">
        <v>0</v>
      </c>
      <c r="T126" s="8" t="n">
        <v>12</v>
      </c>
      <c r="U126" s="8" t="n">
        <v>0</v>
      </c>
      <c r="V126" s="8" t="n">
        <v>0</v>
      </c>
      <c r="W126" s="8" t="n">
        <v>0</v>
      </c>
      <c r="X126" s="8" t="n">
        <v>0</v>
      </c>
      <c r="Y126" s="8" t="n">
        <v>0</v>
      </c>
      <c r="Z126" s="8" t="n">
        <v>0</v>
      </c>
      <c r="AA126" s="8" t="n">
        <v>0</v>
      </c>
      <c r="AB126" s="8" t="n">
        <v>0</v>
      </c>
      <c r="AC126" s="8" t="n">
        <v>0</v>
      </c>
      <c r="AD126" s="8" t="n">
        <v>0</v>
      </c>
      <c r="AE126" s="8" t="n">
        <v>0</v>
      </c>
      <c r="AF126" s="8" t="n">
        <v>12</v>
      </c>
      <c r="AG126" s="8" t="n">
        <v>1.5</v>
      </c>
      <c r="AH126" s="8" t="n">
        <v>2.85</v>
      </c>
      <c r="AI126" s="8" t="n">
        <v>0</v>
      </c>
      <c r="AJ126" s="8" t="n">
        <v>0</v>
      </c>
      <c r="AK126" s="8" t="n">
        <v>0</v>
      </c>
      <c r="AL126" s="8" t="n">
        <v>0</v>
      </c>
      <c r="AM126" s="8" t="n">
        <v>0</v>
      </c>
      <c r="AN126" s="8" t="n">
        <v>0</v>
      </c>
      <c r="AO126" s="8" t="n">
        <v>0</v>
      </c>
      <c r="AP126" s="8" t="n">
        <v>0</v>
      </c>
      <c r="AQ126" s="8" t="n">
        <v>1</v>
      </c>
      <c r="AR126" s="8" t="n">
        <v>0</v>
      </c>
      <c r="AS126" s="8" t="n">
        <v>0</v>
      </c>
      <c r="AT126" s="8" t="n">
        <v>0</v>
      </c>
      <c r="AU126" s="8" t="n">
        <v>0</v>
      </c>
      <c r="AV126" s="8" t="n">
        <v>0</v>
      </c>
      <c r="AW126" s="8" t="n">
        <v>0</v>
      </c>
      <c r="AX126" s="8" t="n">
        <v>0</v>
      </c>
      <c r="AY126" s="8" t="n">
        <v>0</v>
      </c>
      <c r="AZ126" s="8" t="n">
        <v>3</v>
      </c>
      <c r="BA126" s="8" t="n">
        <v>3</v>
      </c>
      <c r="BB126" s="8" t="n">
        <v>0</v>
      </c>
      <c r="BC126" s="8" t="n">
        <v>0</v>
      </c>
      <c r="BD126" s="8" t="n">
        <v>0</v>
      </c>
      <c r="BE126" s="8" t="n">
        <v>0</v>
      </c>
      <c r="BF126" s="8" t="n">
        <v>0</v>
      </c>
      <c r="BG126" s="8" t="n">
        <v>0</v>
      </c>
      <c r="BH126" s="8" t="n">
        <v>0</v>
      </c>
      <c r="BI126" s="8" t="n">
        <v>0</v>
      </c>
      <c r="BJ126" s="8" t="n">
        <v>0</v>
      </c>
      <c r="BK126" s="8" t="n">
        <v>0</v>
      </c>
      <c r="BL126" s="8" t="n">
        <v>9</v>
      </c>
      <c r="BM126" s="8" t="n">
        <v>0</v>
      </c>
      <c r="BN126" s="8" t="n">
        <v>6</v>
      </c>
      <c r="BO126" s="8" t="n">
        <v>0</v>
      </c>
      <c r="BP126" s="8" t="n">
        <v>0</v>
      </c>
      <c r="BQ126" s="8" t="n">
        <v>0</v>
      </c>
      <c r="BR126" s="8" t="n">
        <v>0</v>
      </c>
      <c r="BS126" s="8" t="n">
        <v>0</v>
      </c>
      <c r="BT126" s="8" t="n">
        <v>0</v>
      </c>
      <c r="BU126" s="8" t="n">
        <v>0</v>
      </c>
      <c r="BV126" s="8" t="n">
        <v>0</v>
      </c>
      <c r="BW126" s="8" t="n">
        <v>4.5</v>
      </c>
      <c r="BX126" s="8" t="n">
        <v>0</v>
      </c>
      <c r="BY126" s="8" t="n">
        <v>0</v>
      </c>
      <c r="BZ126" s="8" t="n">
        <v>0</v>
      </c>
      <c r="CA126" s="8" t="n">
        <v>0</v>
      </c>
      <c r="CB126" s="8" t="n">
        <v>0</v>
      </c>
      <c r="CC126" s="8" t="n">
        <v>0</v>
      </c>
      <c r="CD126" s="8" t="n">
        <v>0</v>
      </c>
      <c r="CE126" s="8" t="n">
        <v>0</v>
      </c>
    </row>
    <row r="127">
      <c r="A127" s="15" t="inlineStr">
        <is>
          <t>2025-12-29</t>
        </is>
      </c>
      <c r="B127" s="11" t="n">
        <v>0</v>
      </c>
      <c r="C127" s="11" t="n">
        <v>0</v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3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  <c r="P127" s="11" t="n">
        <v>0</v>
      </c>
      <c r="Q127" s="11" t="n">
        <v>0</v>
      </c>
      <c r="R127" s="11" t="n">
        <v>10</v>
      </c>
      <c r="S127" s="11" t="n">
        <v>0</v>
      </c>
      <c r="T127" s="11" t="n">
        <v>12</v>
      </c>
      <c r="U127" s="11" t="n">
        <v>0</v>
      </c>
      <c r="V127" s="11" t="n">
        <v>0</v>
      </c>
      <c r="W127" s="11" t="n">
        <v>0</v>
      </c>
      <c r="X127" s="11" t="n">
        <v>0</v>
      </c>
      <c r="Y127" s="11" t="n">
        <v>0</v>
      </c>
      <c r="Z127" s="11" t="n">
        <v>0</v>
      </c>
      <c r="AA127" s="11" t="n">
        <v>0</v>
      </c>
      <c r="AB127" s="11" t="n">
        <v>0</v>
      </c>
      <c r="AC127" s="11" t="n">
        <v>0</v>
      </c>
      <c r="AD127" s="11" t="n">
        <v>0</v>
      </c>
      <c r="AE127" s="11" t="n">
        <v>0</v>
      </c>
      <c r="AF127" s="11" t="n">
        <v>12</v>
      </c>
      <c r="AG127" s="11" t="n">
        <v>1.5</v>
      </c>
      <c r="AH127" s="11" t="n">
        <v>3.85</v>
      </c>
      <c r="AI127" s="11" t="n">
        <v>0</v>
      </c>
      <c r="AJ127" s="11" t="n">
        <v>0</v>
      </c>
      <c r="AK127" s="11" t="n">
        <v>0</v>
      </c>
      <c r="AL127" s="11" t="n">
        <v>0</v>
      </c>
      <c r="AM127" s="11" t="n">
        <v>0</v>
      </c>
      <c r="AN127" s="11" t="n">
        <v>0</v>
      </c>
      <c r="AO127" s="11" t="n">
        <v>0</v>
      </c>
      <c r="AP127" s="11" t="n">
        <v>0</v>
      </c>
      <c r="AQ127" s="11" t="n">
        <v>1</v>
      </c>
      <c r="AR127" s="11" t="n">
        <v>0</v>
      </c>
      <c r="AS127" s="11" t="n">
        <v>0</v>
      </c>
      <c r="AT127" s="11" t="n">
        <v>0</v>
      </c>
      <c r="AU127" s="11" t="n">
        <v>0</v>
      </c>
      <c r="AV127" s="11" t="n">
        <v>0</v>
      </c>
      <c r="AW127" s="11" t="n">
        <v>0</v>
      </c>
      <c r="AX127" s="11" t="n">
        <v>0</v>
      </c>
      <c r="AY127" s="11" t="n">
        <v>0</v>
      </c>
      <c r="AZ127" s="11" t="n">
        <v>3</v>
      </c>
      <c r="BA127" s="11" t="n">
        <v>3</v>
      </c>
      <c r="BB127" s="11" t="n">
        <v>0</v>
      </c>
      <c r="BC127" s="11" t="n">
        <v>0</v>
      </c>
      <c r="BD127" s="11" t="n">
        <v>0</v>
      </c>
      <c r="BE127" s="11" t="n">
        <v>0</v>
      </c>
      <c r="BF127" s="11" t="n">
        <v>0</v>
      </c>
      <c r="BG127" s="11" t="n">
        <v>0</v>
      </c>
      <c r="BH127" s="11" t="n">
        <v>0</v>
      </c>
      <c r="BI127" s="11" t="n">
        <v>0</v>
      </c>
      <c r="BJ127" s="11" t="n">
        <v>0</v>
      </c>
      <c r="BK127" s="11" t="n">
        <v>0</v>
      </c>
      <c r="BL127" s="11" t="n">
        <v>9</v>
      </c>
      <c r="BM127" s="11" t="n">
        <v>0</v>
      </c>
      <c r="BN127" s="11" t="n">
        <v>12</v>
      </c>
      <c r="BO127" s="11" t="n">
        <v>0</v>
      </c>
      <c r="BP127" s="11" t="n">
        <v>0</v>
      </c>
      <c r="BQ127" s="11" t="n">
        <v>0</v>
      </c>
      <c r="BR127" s="11" t="n">
        <v>0</v>
      </c>
      <c r="BS127" s="11" t="n">
        <v>0</v>
      </c>
      <c r="BT127" s="11" t="n">
        <v>0</v>
      </c>
      <c r="BU127" s="11" t="n">
        <v>0</v>
      </c>
      <c r="BV127" s="11" t="n">
        <v>0</v>
      </c>
      <c r="BW127" s="11" t="n">
        <v>4.5</v>
      </c>
      <c r="BX127" s="11" t="n">
        <v>0</v>
      </c>
      <c r="BY127" s="11" t="n">
        <v>0</v>
      </c>
      <c r="BZ127" s="11" t="n">
        <v>0</v>
      </c>
      <c r="CA127" s="11" t="n">
        <v>0</v>
      </c>
      <c r="CB127" s="11" t="n">
        <v>0</v>
      </c>
      <c r="CC127" s="11" t="n">
        <v>0</v>
      </c>
      <c r="CD127" s="11" t="n">
        <v>0</v>
      </c>
      <c r="CE127" s="11" t="n">
        <v>0</v>
      </c>
    </row>
    <row r="128">
      <c r="A128" s="14" t="inlineStr">
        <is>
          <t>2025-12-30</t>
        </is>
      </c>
      <c r="B128" s="8" t="n">
        <v>0</v>
      </c>
      <c r="C128" s="8" t="n">
        <v>0</v>
      </c>
      <c r="D128" s="8" t="n">
        <v>0</v>
      </c>
      <c r="E128" s="8" t="n">
        <v>0</v>
      </c>
      <c r="F128" s="8" t="n">
        <v>0</v>
      </c>
      <c r="G128" s="8" t="n">
        <v>0</v>
      </c>
      <c r="H128" s="8" t="n">
        <v>0</v>
      </c>
      <c r="I128" s="8" t="n">
        <v>3</v>
      </c>
      <c r="J128" s="8" t="n">
        <v>0</v>
      </c>
      <c r="K128" s="8" t="n">
        <v>0</v>
      </c>
      <c r="L128" s="8" t="n">
        <v>0</v>
      </c>
      <c r="M128" s="8" t="n">
        <v>0</v>
      </c>
      <c r="N128" s="8" t="n">
        <v>0</v>
      </c>
      <c r="O128" s="8" t="n">
        <v>0</v>
      </c>
      <c r="P128" s="8" t="n">
        <v>0</v>
      </c>
      <c r="Q128" s="8" t="n">
        <v>0</v>
      </c>
      <c r="R128" s="8" t="n">
        <v>10</v>
      </c>
      <c r="S128" s="8" t="n">
        <v>0</v>
      </c>
      <c r="T128" s="8" t="n">
        <v>12</v>
      </c>
      <c r="U128" s="8" t="n">
        <v>0</v>
      </c>
      <c r="V128" s="8" t="n">
        <v>0</v>
      </c>
      <c r="W128" s="8" t="n">
        <v>0</v>
      </c>
      <c r="X128" s="8" t="n">
        <v>0</v>
      </c>
      <c r="Y128" s="8" t="n">
        <v>0</v>
      </c>
      <c r="Z128" s="8" t="n">
        <v>0</v>
      </c>
      <c r="AA128" s="8" t="n">
        <v>0</v>
      </c>
      <c r="AB128" s="8" t="n">
        <v>0</v>
      </c>
      <c r="AC128" s="8" t="n">
        <v>0</v>
      </c>
      <c r="AD128" s="8" t="n">
        <v>0</v>
      </c>
      <c r="AE128" s="8" t="n">
        <v>0</v>
      </c>
      <c r="AF128" s="8" t="n">
        <v>12</v>
      </c>
      <c r="AG128" s="8" t="n">
        <v>1.5</v>
      </c>
      <c r="AH128" s="8" t="n">
        <v>3.85</v>
      </c>
      <c r="AI128" s="8" t="n">
        <v>0</v>
      </c>
      <c r="AJ128" s="8" t="n">
        <v>0</v>
      </c>
      <c r="AK128" s="8" t="n">
        <v>0</v>
      </c>
      <c r="AL128" s="8" t="n">
        <v>0</v>
      </c>
      <c r="AM128" s="8" t="n">
        <v>0</v>
      </c>
      <c r="AN128" s="8" t="n">
        <v>0</v>
      </c>
      <c r="AO128" s="8" t="n">
        <v>0</v>
      </c>
      <c r="AP128" s="8" t="n">
        <v>0</v>
      </c>
      <c r="AQ128" s="8" t="n">
        <v>1</v>
      </c>
      <c r="AR128" s="8" t="n">
        <v>0</v>
      </c>
      <c r="AS128" s="8" t="n">
        <v>0</v>
      </c>
      <c r="AT128" s="8" t="n">
        <v>0</v>
      </c>
      <c r="AU128" s="8" t="n">
        <v>0</v>
      </c>
      <c r="AV128" s="8" t="n">
        <v>0</v>
      </c>
      <c r="AW128" s="8" t="n">
        <v>0</v>
      </c>
      <c r="AX128" s="8" t="n">
        <v>0</v>
      </c>
      <c r="AY128" s="8" t="n">
        <v>0</v>
      </c>
      <c r="AZ128" s="8" t="n">
        <v>3</v>
      </c>
      <c r="BA128" s="8" t="n">
        <v>3</v>
      </c>
      <c r="BB128" s="8" t="n">
        <v>0</v>
      </c>
      <c r="BC128" s="8" t="n">
        <v>0</v>
      </c>
      <c r="BD128" s="8" t="n">
        <v>0</v>
      </c>
      <c r="BE128" s="8" t="n">
        <v>0</v>
      </c>
      <c r="BF128" s="8" t="n">
        <v>0</v>
      </c>
      <c r="BG128" s="8" t="n">
        <v>0</v>
      </c>
      <c r="BH128" s="8" t="n">
        <v>0</v>
      </c>
      <c r="BI128" s="8" t="n">
        <v>0</v>
      </c>
      <c r="BJ128" s="8" t="n">
        <v>0</v>
      </c>
      <c r="BK128" s="8" t="n">
        <v>0</v>
      </c>
      <c r="BL128" s="8" t="n">
        <v>9</v>
      </c>
      <c r="BM128" s="8" t="n">
        <v>0</v>
      </c>
      <c r="BN128" s="8" t="n">
        <v>12</v>
      </c>
      <c r="BO128" s="8" t="n">
        <v>0</v>
      </c>
      <c r="BP128" s="8" t="n">
        <v>0</v>
      </c>
      <c r="BQ128" s="8" t="n">
        <v>0</v>
      </c>
      <c r="BR128" s="8" t="n">
        <v>0</v>
      </c>
      <c r="BS128" s="8" t="n">
        <v>0</v>
      </c>
      <c r="BT128" s="8" t="n">
        <v>0</v>
      </c>
      <c r="BU128" s="8" t="n">
        <v>0</v>
      </c>
      <c r="BV128" s="8" t="n">
        <v>0</v>
      </c>
      <c r="BW128" s="8" t="n">
        <v>4.5</v>
      </c>
      <c r="BX128" s="8" t="n">
        <v>0</v>
      </c>
      <c r="BY128" s="8" t="n">
        <v>0</v>
      </c>
      <c r="BZ128" s="8" t="n">
        <v>0</v>
      </c>
      <c r="CA128" s="8" t="n">
        <v>0</v>
      </c>
      <c r="CB128" s="8" t="n">
        <v>0</v>
      </c>
      <c r="CC128" s="8" t="n">
        <v>0</v>
      </c>
      <c r="CD128" s="8" t="n">
        <v>0</v>
      </c>
      <c r="CE128" s="8" t="n">
        <v>0</v>
      </c>
    </row>
    <row r="129">
      <c r="A129" s="15" t="inlineStr">
        <is>
          <t>2025-12-31</t>
        </is>
      </c>
      <c r="B129" s="11" t="n">
        <v>0</v>
      </c>
      <c r="C129" s="11" t="n">
        <v>0</v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3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  <c r="P129" s="11" t="n">
        <v>0</v>
      </c>
      <c r="Q129" s="11" t="n">
        <v>0</v>
      </c>
      <c r="R129" s="11" t="n">
        <v>10</v>
      </c>
      <c r="S129" s="11" t="n">
        <v>0</v>
      </c>
      <c r="T129" s="11" t="n">
        <v>12</v>
      </c>
      <c r="U129" s="11" t="n">
        <v>0</v>
      </c>
      <c r="V129" s="11" t="n">
        <v>0</v>
      </c>
      <c r="W129" s="11" t="n">
        <v>0</v>
      </c>
      <c r="X129" s="11" t="n">
        <v>0</v>
      </c>
      <c r="Y129" s="11" t="n">
        <v>0</v>
      </c>
      <c r="Z129" s="11" t="n">
        <v>0</v>
      </c>
      <c r="AA129" s="11" t="n">
        <v>0</v>
      </c>
      <c r="AB129" s="11" t="n">
        <v>0</v>
      </c>
      <c r="AC129" s="11" t="n">
        <v>0</v>
      </c>
      <c r="AD129" s="11" t="n">
        <v>0</v>
      </c>
      <c r="AE129" s="11" t="n">
        <v>0</v>
      </c>
      <c r="AF129" s="11" t="n">
        <v>12</v>
      </c>
      <c r="AG129" s="11" t="n">
        <v>1.5</v>
      </c>
      <c r="AH129" s="11" t="n">
        <v>3.85</v>
      </c>
      <c r="AI129" s="11" t="n">
        <v>0</v>
      </c>
      <c r="AJ129" s="11" t="n">
        <v>0</v>
      </c>
      <c r="AK129" s="11" t="n">
        <v>0</v>
      </c>
      <c r="AL129" s="11" t="n">
        <v>0</v>
      </c>
      <c r="AM129" s="11" t="n">
        <v>0</v>
      </c>
      <c r="AN129" s="11" t="n">
        <v>0</v>
      </c>
      <c r="AO129" s="11" t="n">
        <v>0</v>
      </c>
      <c r="AP129" s="11" t="n">
        <v>0</v>
      </c>
      <c r="AQ129" s="11" t="n">
        <v>1</v>
      </c>
      <c r="AR129" s="11" t="n">
        <v>0</v>
      </c>
      <c r="AS129" s="11" t="n">
        <v>0</v>
      </c>
      <c r="AT129" s="11" t="n">
        <v>0</v>
      </c>
      <c r="AU129" s="11" t="n">
        <v>0</v>
      </c>
      <c r="AV129" s="11" t="n">
        <v>0</v>
      </c>
      <c r="AW129" s="11" t="n">
        <v>0</v>
      </c>
      <c r="AX129" s="11" t="n">
        <v>0</v>
      </c>
      <c r="AY129" s="11" t="n">
        <v>0</v>
      </c>
      <c r="AZ129" s="11" t="n">
        <v>3</v>
      </c>
      <c r="BA129" s="11" t="n">
        <v>3</v>
      </c>
      <c r="BB129" s="11" t="n">
        <v>0</v>
      </c>
      <c r="BC129" s="11" t="n">
        <v>0</v>
      </c>
      <c r="BD129" s="11" t="n">
        <v>0</v>
      </c>
      <c r="BE129" s="11" t="n">
        <v>0</v>
      </c>
      <c r="BF129" s="11" t="n">
        <v>0</v>
      </c>
      <c r="BG129" s="11" t="n">
        <v>0</v>
      </c>
      <c r="BH129" s="11" t="n">
        <v>0</v>
      </c>
      <c r="BI129" s="11" t="n">
        <v>0</v>
      </c>
      <c r="BJ129" s="11" t="n">
        <v>0</v>
      </c>
      <c r="BK129" s="11" t="n">
        <v>0</v>
      </c>
      <c r="BL129" s="11" t="n">
        <v>9</v>
      </c>
      <c r="BM129" s="11" t="n">
        <v>0</v>
      </c>
      <c r="BN129" s="11" t="n">
        <v>12</v>
      </c>
      <c r="BO129" s="11" t="n">
        <v>0</v>
      </c>
      <c r="BP129" s="11" t="n">
        <v>0</v>
      </c>
      <c r="BQ129" s="11" t="n">
        <v>0</v>
      </c>
      <c r="BR129" s="11" t="n">
        <v>0</v>
      </c>
      <c r="BS129" s="11" t="n">
        <v>0</v>
      </c>
      <c r="BT129" s="11" t="n">
        <v>0</v>
      </c>
      <c r="BU129" s="11" t="n">
        <v>0</v>
      </c>
      <c r="BV129" s="11" t="n">
        <v>0</v>
      </c>
      <c r="BW129" s="11" t="n">
        <v>4.5</v>
      </c>
      <c r="BX129" s="11" t="n">
        <v>0</v>
      </c>
      <c r="BY129" s="11" t="n">
        <v>0</v>
      </c>
      <c r="BZ129" s="11" t="n">
        <v>0</v>
      </c>
      <c r="CA129" s="11" t="n">
        <v>0</v>
      </c>
      <c r="CB129" s="11" t="n">
        <v>0</v>
      </c>
      <c r="CC129" s="11" t="n">
        <v>0</v>
      </c>
      <c r="CD129" s="11" t="n">
        <v>0</v>
      </c>
      <c r="CE129" s="11" t="n">
        <v>0</v>
      </c>
    </row>
    <row r="130">
      <c r="A130" s="14" t="inlineStr">
        <is>
          <t>2026-01-01</t>
        </is>
      </c>
      <c r="B130" s="8" t="n">
        <v>0</v>
      </c>
      <c r="C130" s="8" t="n">
        <v>0</v>
      </c>
      <c r="D130" s="8" t="n">
        <v>0</v>
      </c>
      <c r="E130" s="8" t="n">
        <v>0</v>
      </c>
      <c r="F130" s="8" t="n">
        <v>0</v>
      </c>
      <c r="G130" s="8" t="n">
        <v>0</v>
      </c>
      <c r="H130" s="8" t="n">
        <v>0</v>
      </c>
      <c r="I130" s="8" t="n">
        <v>3</v>
      </c>
      <c r="J130" s="8" t="n">
        <v>0</v>
      </c>
      <c r="K130" s="8" t="n">
        <v>0</v>
      </c>
      <c r="L130" s="8" t="n">
        <v>0</v>
      </c>
      <c r="M130" s="8" t="n">
        <v>0</v>
      </c>
      <c r="N130" s="8" t="n">
        <v>0</v>
      </c>
      <c r="O130" s="8" t="n">
        <v>0</v>
      </c>
      <c r="P130" s="8" t="n">
        <v>0</v>
      </c>
      <c r="Q130" s="8" t="n">
        <v>0</v>
      </c>
      <c r="R130" s="8" t="n">
        <v>10</v>
      </c>
      <c r="S130" s="8" t="n">
        <v>0</v>
      </c>
      <c r="T130" s="8" t="n">
        <v>12</v>
      </c>
      <c r="U130" s="8" t="n">
        <v>0</v>
      </c>
      <c r="V130" s="8" t="n">
        <v>0</v>
      </c>
      <c r="W130" s="8" t="n">
        <v>0</v>
      </c>
      <c r="X130" s="8" t="n">
        <v>0</v>
      </c>
      <c r="Y130" s="8" t="n">
        <v>0</v>
      </c>
      <c r="Z130" s="8" t="n">
        <v>0</v>
      </c>
      <c r="AA130" s="8" t="n">
        <v>0</v>
      </c>
      <c r="AB130" s="8" t="n">
        <v>0</v>
      </c>
      <c r="AC130" s="8" t="n">
        <v>0</v>
      </c>
      <c r="AD130" s="8" t="n">
        <v>0</v>
      </c>
      <c r="AE130" s="8" t="n">
        <v>0</v>
      </c>
      <c r="AF130" s="8" t="n">
        <v>12</v>
      </c>
      <c r="AG130" s="8" t="n">
        <v>1.5</v>
      </c>
      <c r="AH130" s="8" t="n">
        <v>3.85</v>
      </c>
      <c r="AI130" s="8" t="n">
        <v>0</v>
      </c>
      <c r="AJ130" s="8" t="n">
        <v>0</v>
      </c>
      <c r="AK130" s="8" t="n">
        <v>0</v>
      </c>
      <c r="AL130" s="8" t="n">
        <v>0</v>
      </c>
      <c r="AM130" s="8" t="n">
        <v>0</v>
      </c>
      <c r="AN130" s="8" t="n">
        <v>0</v>
      </c>
      <c r="AO130" s="8" t="n">
        <v>0</v>
      </c>
      <c r="AP130" s="8" t="n">
        <v>0</v>
      </c>
      <c r="AQ130" s="8" t="n">
        <v>1</v>
      </c>
      <c r="AR130" s="8" t="n">
        <v>0</v>
      </c>
      <c r="AS130" s="8" t="n">
        <v>0</v>
      </c>
      <c r="AT130" s="8" t="n">
        <v>0</v>
      </c>
      <c r="AU130" s="8" t="n">
        <v>0</v>
      </c>
      <c r="AV130" s="8" t="n">
        <v>0</v>
      </c>
      <c r="AW130" s="8" t="n">
        <v>0</v>
      </c>
      <c r="AX130" s="8" t="n">
        <v>0</v>
      </c>
      <c r="AY130" s="8" t="n">
        <v>0</v>
      </c>
      <c r="AZ130" s="8" t="n">
        <v>3</v>
      </c>
      <c r="BA130" s="8" t="n">
        <v>3</v>
      </c>
      <c r="BB130" s="8" t="n">
        <v>0</v>
      </c>
      <c r="BC130" s="8" t="n">
        <v>0</v>
      </c>
      <c r="BD130" s="8" t="n">
        <v>0</v>
      </c>
      <c r="BE130" s="8" t="n">
        <v>0</v>
      </c>
      <c r="BF130" s="8" t="n">
        <v>0</v>
      </c>
      <c r="BG130" s="8" t="n">
        <v>0</v>
      </c>
      <c r="BH130" s="8" t="n">
        <v>0</v>
      </c>
      <c r="BI130" s="8" t="n">
        <v>0</v>
      </c>
      <c r="BJ130" s="8" t="n">
        <v>0</v>
      </c>
      <c r="BK130" s="8" t="n">
        <v>0</v>
      </c>
      <c r="BL130" s="8" t="n">
        <v>9</v>
      </c>
      <c r="BM130" s="8" t="n">
        <v>0</v>
      </c>
      <c r="BN130" s="8" t="n">
        <v>12</v>
      </c>
      <c r="BO130" s="8" t="n">
        <v>0</v>
      </c>
      <c r="BP130" s="8" t="n">
        <v>0</v>
      </c>
      <c r="BQ130" s="8" t="n">
        <v>0</v>
      </c>
      <c r="BR130" s="8" t="n">
        <v>0</v>
      </c>
      <c r="BS130" s="8" t="n">
        <v>0</v>
      </c>
      <c r="BT130" s="8" t="n">
        <v>0</v>
      </c>
      <c r="BU130" s="8" t="n">
        <v>0</v>
      </c>
      <c r="BV130" s="8" t="n">
        <v>0</v>
      </c>
      <c r="BW130" s="8" t="n">
        <v>4.5</v>
      </c>
      <c r="BX130" s="8" t="n">
        <v>0</v>
      </c>
      <c r="BY130" s="8" t="n">
        <v>0</v>
      </c>
      <c r="BZ130" s="8" t="n">
        <v>0</v>
      </c>
      <c r="CA130" s="8" t="n">
        <v>0</v>
      </c>
      <c r="CB130" s="8" t="n">
        <v>0</v>
      </c>
      <c r="CC130" s="8" t="n">
        <v>0</v>
      </c>
      <c r="CD130" s="8" t="n">
        <v>0</v>
      </c>
      <c r="CE130" s="8" t="n">
        <v>0</v>
      </c>
    </row>
    <row r="131">
      <c r="A131" s="15" t="inlineStr">
        <is>
          <t>2026-01-02</t>
        </is>
      </c>
      <c r="B131" s="11" t="n">
        <v>0</v>
      </c>
      <c r="C131" s="11" t="n">
        <v>0</v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3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  <c r="P131" s="11" t="n">
        <v>0</v>
      </c>
      <c r="Q131" s="11" t="n">
        <v>0</v>
      </c>
      <c r="R131" s="11" t="n">
        <v>10</v>
      </c>
      <c r="S131" s="11" t="n">
        <v>0</v>
      </c>
      <c r="T131" s="11" t="n">
        <v>12</v>
      </c>
      <c r="U131" s="11" t="n">
        <v>0</v>
      </c>
      <c r="V131" s="11" t="n">
        <v>0</v>
      </c>
      <c r="W131" s="11" t="n">
        <v>0</v>
      </c>
      <c r="X131" s="11" t="n">
        <v>0</v>
      </c>
      <c r="Y131" s="11" t="n">
        <v>0</v>
      </c>
      <c r="Z131" s="11" t="n">
        <v>0</v>
      </c>
      <c r="AA131" s="11" t="n">
        <v>0</v>
      </c>
      <c r="AB131" s="11" t="n">
        <v>0</v>
      </c>
      <c r="AC131" s="11" t="n">
        <v>0</v>
      </c>
      <c r="AD131" s="11" t="n">
        <v>0</v>
      </c>
      <c r="AE131" s="11" t="n">
        <v>0</v>
      </c>
      <c r="AF131" s="11" t="n">
        <v>12</v>
      </c>
      <c r="AG131" s="11" t="n">
        <v>1.5</v>
      </c>
      <c r="AH131" s="11" t="n">
        <v>3.85</v>
      </c>
      <c r="AI131" s="11" t="n">
        <v>0</v>
      </c>
      <c r="AJ131" s="11" t="n">
        <v>0</v>
      </c>
      <c r="AK131" s="11" t="n">
        <v>0</v>
      </c>
      <c r="AL131" s="11" t="n">
        <v>0</v>
      </c>
      <c r="AM131" s="11" t="n">
        <v>0</v>
      </c>
      <c r="AN131" s="11" t="n">
        <v>0</v>
      </c>
      <c r="AO131" s="11" t="n">
        <v>0</v>
      </c>
      <c r="AP131" s="11" t="n">
        <v>0</v>
      </c>
      <c r="AQ131" s="11" t="n">
        <v>1</v>
      </c>
      <c r="AR131" s="11" t="n">
        <v>0</v>
      </c>
      <c r="AS131" s="11" t="n">
        <v>0</v>
      </c>
      <c r="AT131" s="11" t="n">
        <v>0</v>
      </c>
      <c r="AU131" s="11" t="n">
        <v>0</v>
      </c>
      <c r="AV131" s="11" t="n">
        <v>0</v>
      </c>
      <c r="AW131" s="11" t="n">
        <v>0</v>
      </c>
      <c r="AX131" s="11" t="n">
        <v>0</v>
      </c>
      <c r="AY131" s="11" t="n">
        <v>0</v>
      </c>
      <c r="AZ131" s="11" t="n">
        <v>3</v>
      </c>
      <c r="BA131" s="11" t="n">
        <v>3</v>
      </c>
      <c r="BB131" s="11" t="n">
        <v>0</v>
      </c>
      <c r="BC131" s="11" t="n">
        <v>0</v>
      </c>
      <c r="BD131" s="11" t="n">
        <v>0</v>
      </c>
      <c r="BE131" s="11" t="n">
        <v>0</v>
      </c>
      <c r="BF131" s="11" t="n">
        <v>0</v>
      </c>
      <c r="BG131" s="11" t="n">
        <v>0</v>
      </c>
      <c r="BH131" s="11" t="n">
        <v>0</v>
      </c>
      <c r="BI131" s="11" t="n">
        <v>0</v>
      </c>
      <c r="BJ131" s="11" t="n">
        <v>0</v>
      </c>
      <c r="BK131" s="11" t="n">
        <v>0</v>
      </c>
      <c r="BL131" s="11" t="n">
        <v>9</v>
      </c>
      <c r="BM131" s="11" t="n">
        <v>0</v>
      </c>
      <c r="BN131" s="11" t="n">
        <v>12</v>
      </c>
      <c r="BO131" s="11" t="n">
        <v>0</v>
      </c>
      <c r="BP131" s="11" t="n">
        <v>0</v>
      </c>
      <c r="BQ131" s="11" t="n">
        <v>0</v>
      </c>
      <c r="BR131" s="11" t="n">
        <v>0</v>
      </c>
      <c r="BS131" s="11" t="n">
        <v>0</v>
      </c>
      <c r="BT131" s="11" t="n">
        <v>0</v>
      </c>
      <c r="BU131" s="11" t="n">
        <v>0</v>
      </c>
      <c r="BV131" s="11" t="n">
        <v>0</v>
      </c>
      <c r="BW131" s="11" t="n">
        <v>4.5</v>
      </c>
      <c r="BX131" s="11" t="n">
        <v>0</v>
      </c>
      <c r="BY131" s="11" t="n">
        <v>0</v>
      </c>
      <c r="BZ131" s="11" t="n">
        <v>0</v>
      </c>
      <c r="CA131" s="11" t="n">
        <v>0</v>
      </c>
      <c r="CB131" s="11" t="n">
        <v>0</v>
      </c>
      <c r="CC131" s="11" t="n">
        <v>0</v>
      </c>
      <c r="CD131" s="11" t="n">
        <v>0</v>
      </c>
      <c r="CE131" s="11" t="n">
        <v>0</v>
      </c>
    </row>
    <row r="132">
      <c r="A132" s="14" t="inlineStr">
        <is>
          <t>2026-01-05</t>
        </is>
      </c>
      <c r="B132" s="8" t="n">
        <v>0</v>
      </c>
      <c r="C132" s="8" t="n">
        <v>0</v>
      </c>
      <c r="D132" s="8" t="n">
        <v>0</v>
      </c>
      <c r="E132" s="8" t="n">
        <v>0</v>
      </c>
      <c r="F132" s="8" t="n">
        <v>0</v>
      </c>
      <c r="G132" s="8" t="n">
        <v>0</v>
      </c>
      <c r="H132" s="8" t="n">
        <v>0</v>
      </c>
      <c r="I132" s="8" t="n">
        <v>3</v>
      </c>
      <c r="J132" s="8" t="n">
        <v>0</v>
      </c>
      <c r="K132" s="8" t="n">
        <v>0</v>
      </c>
      <c r="L132" s="8" t="n">
        <v>0</v>
      </c>
      <c r="M132" s="8" t="n">
        <v>0</v>
      </c>
      <c r="N132" s="8" t="n">
        <v>0</v>
      </c>
      <c r="O132" s="8" t="n">
        <v>0</v>
      </c>
      <c r="P132" s="8" t="n">
        <v>0</v>
      </c>
      <c r="Q132" s="8" t="n">
        <v>0</v>
      </c>
      <c r="R132" s="8" t="n">
        <v>10</v>
      </c>
      <c r="S132" s="8" t="n">
        <v>0</v>
      </c>
      <c r="T132" s="8" t="n">
        <v>12</v>
      </c>
      <c r="U132" s="8" t="n">
        <v>0</v>
      </c>
      <c r="V132" s="8" t="n">
        <v>0</v>
      </c>
      <c r="W132" s="8" t="n">
        <v>0</v>
      </c>
      <c r="X132" s="8" t="n">
        <v>0</v>
      </c>
      <c r="Y132" s="8" t="n">
        <v>0</v>
      </c>
      <c r="Z132" s="8" t="n">
        <v>0</v>
      </c>
      <c r="AA132" s="8" t="n">
        <v>0</v>
      </c>
      <c r="AB132" s="8" t="n">
        <v>0</v>
      </c>
      <c r="AC132" s="8" t="n">
        <v>0</v>
      </c>
      <c r="AD132" s="8" t="n">
        <v>0</v>
      </c>
      <c r="AE132" s="8" t="n">
        <v>0</v>
      </c>
      <c r="AF132" s="8" t="n">
        <v>12</v>
      </c>
      <c r="AG132" s="8" t="n">
        <v>1.5</v>
      </c>
      <c r="AH132" s="8" t="n">
        <v>3.85</v>
      </c>
      <c r="AI132" s="8" t="n">
        <v>0</v>
      </c>
      <c r="AJ132" s="8" t="n">
        <v>0</v>
      </c>
      <c r="AK132" s="8" t="n">
        <v>0</v>
      </c>
      <c r="AL132" s="8" t="n">
        <v>0</v>
      </c>
      <c r="AM132" s="8" t="n">
        <v>0</v>
      </c>
      <c r="AN132" s="8" t="n">
        <v>0</v>
      </c>
      <c r="AO132" s="8" t="n">
        <v>0</v>
      </c>
      <c r="AP132" s="8" t="n">
        <v>0</v>
      </c>
      <c r="AQ132" s="8" t="n">
        <v>1</v>
      </c>
      <c r="AR132" s="8" t="n">
        <v>0</v>
      </c>
      <c r="AS132" s="8" t="n">
        <v>0</v>
      </c>
      <c r="AT132" s="8" t="n">
        <v>0</v>
      </c>
      <c r="AU132" s="8" t="n">
        <v>0</v>
      </c>
      <c r="AV132" s="8" t="n">
        <v>0</v>
      </c>
      <c r="AW132" s="8" t="n">
        <v>0</v>
      </c>
      <c r="AX132" s="8" t="n">
        <v>0</v>
      </c>
      <c r="AY132" s="8" t="n">
        <v>0</v>
      </c>
      <c r="AZ132" s="8" t="n">
        <v>3</v>
      </c>
      <c r="BA132" s="8" t="n">
        <v>3</v>
      </c>
      <c r="BB132" s="8" t="n">
        <v>0</v>
      </c>
      <c r="BC132" s="8" t="n">
        <v>0</v>
      </c>
      <c r="BD132" s="8" t="n">
        <v>0</v>
      </c>
      <c r="BE132" s="8" t="n">
        <v>0</v>
      </c>
      <c r="BF132" s="8" t="n">
        <v>0</v>
      </c>
      <c r="BG132" s="8" t="n">
        <v>0</v>
      </c>
      <c r="BH132" s="8" t="n">
        <v>0</v>
      </c>
      <c r="BI132" s="8" t="n">
        <v>0</v>
      </c>
      <c r="BJ132" s="8" t="n">
        <v>0</v>
      </c>
      <c r="BK132" s="8" t="n">
        <v>0</v>
      </c>
      <c r="BL132" s="8" t="n">
        <v>9</v>
      </c>
      <c r="BM132" s="8" t="n">
        <v>0</v>
      </c>
      <c r="BN132" s="8" t="n">
        <v>12</v>
      </c>
      <c r="BO132" s="8" t="n">
        <v>0</v>
      </c>
      <c r="BP132" s="8" t="n">
        <v>0</v>
      </c>
      <c r="BQ132" s="8" t="n">
        <v>0</v>
      </c>
      <c r="BR132" s="8" t="n">
        <v>0</v>
      </c>
      <c r="BS132" s="8" t="n">
        <v>0</v>
      </c>
      <c r="BT132" s="8" t="n">
        <v>0</v>
      </c>
      <c r="BU132" s="8" t="n">
        <v>0</v>
      </c>
      <c r="BV132" s="8" t="n">
        <v>0</v>
      </c>
      <c r="BW132" s="8" t="n">
        <v>4.5</v>
      </c>
      <c r="BX132" s="8" t="n">
        <v>0</v>
      </c>
      <c r="BY132" s="8" t="n">
        <v>0</v>
      </c>
      <c r="BZ132" s="8" t="n">
        <v>0</v>
      </c>
      <c r="CA132" s="8" t="n">
        <v>0</v>
      </c>
      <c r="CB132" s="8" t="n">
        <v>0</v>
      </c>
      <c r="CC132" s="8" t="n">
        <v>0</v>
      </c>
      <c r="CD132" s="8" t="n">
        <v>0</v>
      </c>
      <c r="CE132" s="8" t="n">
        <v>0</v>
      </c>
    </row>
    <row r="133">
      <c r="A133" s="15" t="inlineStr">
        <is>
          <t>2026-01-06</t>
        </is>
      </c>
      <c r="B133" s="11" t="n">
        <v>0</v>
      </c>
      <c r="C133" s="11" t="n">
        <v>0</v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3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  <c r="P133" s="11" t="n">
        <v>0</v>
      </c>
      <c r="Q133" s="11" t="n">
        <v>0</v>
      </c>
      <c r="R133" s="11" t="n">
        <v>10</v>
      </c>
      <c r="S133" s="11" t="n">
        <v>0</v>
      </c>
      <c r="T133" s="11" t="n">
        <v>12</v>
      </c>
      <c r="U133" s="11" t="n">
        <v>0</v>
      </c>
      <c r="V133" s="11" t="n">
        <v>0</v>
      </c>
      <c r="W133" s="11" t="n">
        <v>0</v>
      </c>
      <c r="X133" s="11" t="n">
        <v>0</v>
      </c>
      <c r="Y133" s="11" t="n">
        <v>0</v>
      </c>
      <c r="Z133" s="11" t="n">
        <v>0</v>
      </c>
      <c r="AA133" s="11" t="n">
        <v>0</v>
      </c>
      <c r="AB133" s="11" t="n">
        <v>0</v>
      </c>
      <c r="AC133" s="11" t="n">
        <v>0</v>
      </c>
      <c r="AD133" s="11" t="n">
        <v>0</v>
      </c>
      <c r="AE133" s="11" t="n">
        <v>0</v>
      </c>
      <c r="AF133" s="11" t="n">
        <v>12</v>
      </c>
      <c r="AG133" s="11" t="n">
        <v>1.5</v>
      </c>
      <c r="AH133" s="11" t="n">
        <v>3.85</v>
      </c>
      <c r="AI133" s="11" t="n">
        <v>0</v>
      </c>
      <c r="AJ133" s="11" t="n">
        <v>0</v>
      </c>
      <c r="AK133" s="11" t="n">
        <v>0</v>
      </c>
      <c r="AL133" s="11" t="n">
        <v>0</v>
      </c>
      <c r="AM133" s="11" t="n">
        <v>0</v>
      </c>
      <c r="AN133" s="11" t="n">
        <v>0</v>
      </c>
      <c r="AO133" s="11" t="n">
        <v>0</v>
      </c>
      <c r="AP133" s="11" t="n">
        <v>0</v>
      </c>
      <c r="AQ133" s="11" t="n">
        <v>1</v>
      </c>
      <c r="AR133" s="11" t="n">
        <v>0</v>
      </c>
      <c r="AS133" s="11" t="n">
        <v>0</v>
      </c>
      <c r="AT133" s="11" t="n">
        <v>0</v>
      </c>
      <c r="AU133" s="11" t="n">
        <v>0</v>
      </c>
      <c r="AV133" s="11" t="n">
        <v>0</v>
      </c>
      <c r="AW133" s="11" t="n">
        <v>0</v>
      </c>
      <c r="AX133" s="11" t="n">
        <v>0</v>
      </c>
      <c r="AY133" s="11" t="n">
        <v>0</v>
      </c>
      <c r="AZ133" s="11" t="n">
        <v>3</v>
      </c>
      <c r="BA133" s="11" t="n">
        <v>3</v>
      </c>
      <c r="BB133" s="11" t="n">
        <v>0</v>
      </c>
      <c r="BC133" s="11" t="n">
        <v>0</v>
      </c>
      <c r="BD133" s="11" t="n">
        <v>0</v>
      </c>
      <c r="BE133" s="11" t="n">
        <v>0</v>
      </c>
      <c r="BF133" s="11" t="n">
        <v>0</v>
      </c>
      <c r="BG133" s="11" t="n">
        <v>0</v>
      </c>
      <c r="BH133" s="11" t="n">
        <v>0</v>
      </c>
      <c r="BI133" s="11" t="n">
        <v>0</v>
      </c>
      <c r="BJ133" s="11" t="n">
        <v>0</v>
      </c>
      <c r="BK133" s="11" t="n">
        <v>0</v>
      </c>
      <c r="BL133" s="11" t="n">
        <v>9</v>
      </c>
      <c r="BM133" s="11" t="n">
        <v>0</v>
      </c>
      <c r="BN133" s="11" t="n">
        <v>12</v>
      </c>
      <c r="BO133" s="11" t="n">
        <v>0</v>
      </c>
      <c r="BP133" s="11" t="n">
        <v>0</v>
      </c>
      <c r="BQ133" s="11" t="n">
        <v>0</v>
      </c>
      <c r="BR133" s="11" t="n">
        <v>0</v>
      </c>
      <c r="BS133" s="11" t="n">
        <v>0</v>
      </c>
      <c r="BT133" s="11" t="n">
        <v>0</v>
      </c>
      <c r="BU133" s="11" t="n">
        <v>0</v>
      </c>
      <c r="BV133" s="11" t="n">
        <v>5</v>
      </c>
      <c r="BW133" s="11" t="n">
        <v>4.5</v>
      </c>
      <c r="BX133" s="11" t="n">
        <v>0</v>
      </c>
      <c r="BY133" s="11" t="n">
        <v>0</v>
      </c>
      <c r="BZ133" s="11" t="n">
        <v>0</v>
      </c>
      <c r="CA133" s="11" t="n">
        <v>0</v>
      </c>
      <c r="CB133" s="11" t="n">
        <v>0</v>
      </c>
      <c r="CC133" s="11" t="n">
        <v>0</v>
      </c>
      <c r="CD133" s="11" t="n">
        <v>0</v>
      </c>
      <c r="CE133" s="11" t="n">
        <v>0</v>
      </c>
    </row>
    <row r="134">
      <c r="A134" s="14" t="inlineStr">
        <is>
          <t>2026-01-07</t>
        </is>
      </c>
      <c r="B134" s="8" t="n">
        <v>0</v>
      </c>
      <c r="C134" s="8" t="n">
        <v>0</v>
      </c>
      <c r="D134" s="8" t="n">
        <v>0</v>
      </c>
      <c r="E134" s="8" t="n">
        <v>0</v>
      </c>
      <c r="F134" s="8" t="n">
        <v>0</v>
      </c>
      <c r="G134" s="8" t="n">
        <v>0</v>
      </c>
      <c r="H134" s="8" t="n">
        <v>0</v>
      </c>
      <c r="I134" s="8" t="n">
        <v>3</v>
      </c>
      <c r="J134" s="8" t="n">
        <v>0</v>
      </c>
      <c r="K134" s="8" t="n">
        <v>0</v>
      </c>
      <c r="L134" s="8" t="n">
        <v>0</v>
      </c>
      <c r="M134" s="8" t="n">
        <v>0</v>
      </c>
      <c r="N134" s="8" t="n">
        <v>0</v>
      </c>
      <c r="O134" s="8" t="n">
        <v>0</v>
      </c>
      <c r="P134" s="8" t="n">
        <v>0</v>
      </c>
      <c r="Q134" s="8" t="n">
        <v>0</v>
      </c>
      <c r="R134" s="8" t="n">
        <v>10</v>
      </c>
      <c r="S134" s="8" t="n">
        <v>0</v>
      </c>
      <c r="T134" s="8" t="n">
        <v>12</v>
      </c>
      <c r="U134" s="8" t="n">
        <v>0</v>
      </c>
      <c r="V134" s="8" t="n">
        <v>0</v>
      </c>
      <c r="W134" s="8" t="n">
        <v>0</v>
      </c>
      <c r="X134" s="8" t="n">
        <v>0</v>
      </c>
      <c r="Y134" s="8" t="n">
        <v>0</v>
      </c>
      <c r="Z134" s="8" t="n">
        <v>0</v>
      </c>
      <c r="AA134" s="8" t="n">
        <v>0</v>
      </c>
      <c r="AB134" s="8" t="n">
        <v>0</v>
      </c>
      <c r="AC134" s="8" t="n">
        <v>0</v>
      </c>
      <c r="AD134" s="8" t="n">
        <v>0</v>
      </c>
      <c r="AE134" s="8" t="n">
        <v>0</v>
      </c>
      <c r="AF134" s="8" t="n">
        <v>12</v>
      </c>
      <c r="AG134" s="8" t="n">
        <v>1.5</v>
      </c>
      <c r="AH134" s="8" t="n">
        <v>3.85</v>
      </c>
      <c r="AI134" s="8" t="n">
        <v>0</v>
      </c>
      <c r="AJ134" s="8" t="n">
        <v>0</v>
      </c>
      <c r="AK134" s="8" t="n">
        <v>0</v>
      </c>
      <c r="AL134" s="8" t="n">
        <v>0</v>
      </c>
      <c r="AM134" s="8" t="n">
        <v>0</v>
      </c>
      <c r="AN134" s="8" t="n">
        <v>0</v>
      </c>
      <c r="AO134" s="8" t="n">
        <v>0</v>
      </c>
      <c r="AP134" s="8" t="n">
        <v>0</v>
      </c>
      <c r="AQ134" s="8" t="n">
        <v>1</v>
      </c>
      <c r="AR134" s="8" t="n">
        <v>0</v>
      </c>
      <c r="AS134" s="8" t="n">
        <v>0</v>
      </c>
      <c r="AT134" s="8" t="n">
        <v>0</v>
      </c>
      <c r="AU134" s="8" t="n">
        <v>0</v>
      </c>
      <c r="AV134" s="8" t="n">
        <v>0</v>
      </c>
      <c r="AW134" s="8" t="n">
        <v>0</v>
      </c>
      <c r="AX134" s="8" t="n">
        <v>0</v>
      </c>
      <c r="AY134" s="8" t="n">
        <v>0</v>
      </c>
      <c r="AZ134" s="8" t="n">
        <v>3</v>
      </c>
      <c r="BA134" s="8" t="n">
        <v>3</v>
      </c>
      <c r="BB134" s="8" t="n">
        <v>0</v>
      </c>
      <c r="BC134" s="8" t="n">
        <v>0</v>
      </c>
      <c r="BD134" s="8" t="n">
        <v>0</v>
      </c>
      <c r="BE134" s="8" t="n">
        <v>0</v>
      </c>
      <c r="BF134" s="8" t="n">
        <v>0</v>
      </c>
      <c r="BG134" s="8" t="n">
        <v>0</v>
      </c>
      <c r="BH134" s="8" t="n">
        <v>0</v>
      </c>
      <c r="BI134" s="8" t="n">
        <v>0</v>
      </c>
      <c r="BJ134" s="8" t="n">
        <v>0</v>
      </c>
      <c r="BK134" s="8" t="n">
        <v>0</v>
      </c>
      <c r="BL134" s="8" t="n">
        <v>9</v>
      </c>
      <c r="BM134" s="8" t="n">
        <v>0</v>
      </c>
      <c r="BN134" s="8" t="n">
        <v>12</v>
      </c>
      <c r="BO134" s="8" t="n">
        <v>0</v>
      </c>
      <c r="BP134" s="8" t="n">
        <v>0</v>
      </c>
      <c r="BQ134" s="8" t="n">
        <v>0</v>
      </c>
      <c r="BR134" s="8" t="n">
        <v>0</v>
      </c>
      <c r="BS134" s="8" t="n">
        <v>0</v>
      </c>
      <c r="BT134" s="8" t="n">
        <v>0</v>
      </c>
      <c r="BU134" s="8" t="n">
        <v>0</v>
      </c>
      <c r="BV134" s="8" t="n">
        <v>5</v>
      </c>
      <c r="BW134" s="8" t="n">
        <v>4.5</v>
      </c>
      <c r="BX134" s="8" t="n">
        <v>0</v>
      </c>
      <c r="BY134" s="8" t="n">
        <v>0</v>
      </c>
      <c r="BZ134" s="8" t="n">
        <v>0</v>
      </c>
      <c r="CA134" s="8" t="n">
        <v>0</v>
      </c>
      <c r="CB134" s="8" t="n">
        <v>0</v>
      </c>
      <c r="CC134" s="8" t="n">
        <v>0</v>
      </c>
      <c r="CD134" s="8" t="n">
        <v>0</v>
      </c>
      <c r="CE134" s="8" t="n">
        <v>0</v>
      </c>
    </row>
    <row r="135">
      <c r="A135" s="15" t="inlineStr">
        <is>
          <t>2026-01-08</t>
        </is>
      </c>
      <c r="B135" s="11" t="n">
        <v>0</v>
      </c>
      <c r="C135" s="11" t="n">
        <v>0</v>
      </c>
      <c r="D135" s="11" t="n">
        <v>0</v>
      </c>
      <c r="E135" s="11" t="n">
        <v>0</v>
      </c>
      <c r="F135" s="11" t="n">
        <v>0</v>
      </c>
      <c r="G135" s="11" t="n">
        <v>0</v>
      </c>
      <c r="H135" s="11" t="n">
        <v>0</v>
      </c>
      <c r="I135" s="11" t="n">
        <v>3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  <c r="P135" s="11" t="n">
        <v>0</v>
      </c>
      <c r="Q135" s="11" t="n">
        <v>0</v>
      </c>
      <c r="R135" s="11" t="n">
        <v>10</v>
      </c>
      <c r="S135" s="11" t="n">
        <v>0</v>
      </c>
      <c r="T135" s="11" t="n">
        <v>12</v>
      </c>
      <c r="U135" s="11" t="n">
        <v>0</v>
      </c>
      <c r="V135" s="11" t="n">
        <v>0</v>
      </c>
      <c r="W135" s="11" t="n">
        <v>0</v>
      </c>
      <c r="X135" s="11" t="n">
        <v>0</v>
      </c>
      <c r="Y135" s="11" t="n">
        <v>0</v>
      </c>
      <c r="Z135" s="11" t="n">
        <v>0</v>
      </c>
      <c r="AA135" s="11" t="n">
        <v>0</v>
      </c>
      <c r="AB135" s="11" t="n">
        <v>0</v>
      </c>
      <c r="AC135" s="11" t="n">
        <v>0</v>
      </c>
      <c r="AD135" s="11" t="n">
        <v>0</v>
      </c>
      <c r="AE135" s="11" t="n">
        <v>0</v>
      </c>
      <c r="AF135" s="11" t="n">
        <v>12</v>
      </c>
      <c r="AG135" s="11" t="n">
        <v>1.5</v>
      </c>
      <c r="AH135" s="11" t="n">
        <v>3.85</v>
      </c>
      <c r="AI135" s="11" t="n">
        <v>0</v>
      </c>
      <c r="AJ135" s="11" t="n">
        <v>0</v>
      </c>
      <c r="AK135" s="11" t="n">
        <v>0</v>
      </c>
      <c r="AL135" s="11" t="n">
        <v>4</v>
      </c>
      <c r="AM135" s="11" t="n">
        <v>0</v>
      </c>
      <c r="AN135" s="11" t="n">
        <v>0</v>
      </c>
      <c r="AO135" s="11" t="n">
        <v>0</v>
      </c>
      <c r="AP135" s="11" t="n">
        <v>0</v>
      </c>
      <c r="AQ135" s="11" t="n">
        <v>1</v>
      </c>
      <c r="AR135" s="11" t="n">
        <v>0</v>
      </c>
      <c r="AS135" s="11" t="n">
        <v>0</v>
      </c>
      <c r="AT135" s="11" t="n">
        <v>0</v>
      </c>
      <c r="AU135" s="11" t="n">
        <v>0</v>
      </c>
      <c r="AV135" s="11" t="n">
        <v>0</v>
      </c>
      <c r="AW135" s="11" t="n">
        <v>0</v>
      </c>
      <c r="AX135" s="11" t="n">
        <v>0</v>
      </c>
      <c r="AY135" s="11" t="n">
        <v>0</v>
      </c>
      <c r="AZ135" s="11" t="n">
        <v>3</v>
      </c>
      <c r="BA135" s="11" t="n">
        <v>3</v>
      </c>
      <c r="BB135" s="11" t="n">
        <v>0</v>
      </c>
      <c r="BC135" s="11" t="n">
        <v>0</v>
      </c>
      <c r="BD135" s="11" t="n">
        <v>0</v>
      </c>
      <c r="BE135" s="11" t="n">
        <v>0</v>
      </c>
      <c r="BF135" s="11" t="n">
        <v>0</v>
      </c>
      <c r="BG135" s="11" t="n">
        <v>0</v>
      </c>
      <c r="BH135" s="11" t="n">
        <v>0</v>
      </c>
      <c r="BI135" s="11" t="n">
        <v>0</v>
      </c>
      <c r="BJ135" s="11" t="n">
        <v>0</v>
      </c>
      <c r="BK135" s="11" t="n">
        <v>0</v>
      </c>
      <c r="BL135" s="11" t="n">
        <v>9</v>
      </c>
      <c r="BM135" s="11" t="n">
        <v>0</v>
      </c>
      <c r="BN135" s="11" t="n">
        <v>12</v>
      </c>
      <c r="BO135" s="11" t="n">
        <v>0</v>
      </c>
      <c r="BP135" s="11" t="n">
        <v>0</v>
      </c>
      <c r="BQ135" s="11" t="n">
        <v>0</v>
      </c>
      <c r="BR135" s="11" t="n">
        <v>0</v>
      </c>
      <c r="BS135" s="11" t="n">
        <v>0</v>
      </c>
      <c r="BT135" s="11" t="n">
        <v>0</v>
      </c>
      <c r="BU135" s="11" t="n">
        <v>0</v>
      </c>
      <c r="BV135" s="11" t="n">
        <v>5</v>
      </c>
      <c r="BW135" s="11" t="n">
        <v>4.5</v>
      </c>
      <c r="BX135" s="11" t="n">
        <v>0</v>
      </c>
      <c r="BY135" s="11" t="n">
        <v>0</v>
      </c>
      <c r="BZ135" s="11" t="n">
        <v>0</v>
      </c>
      <c r="CA135" s="11" t="n">
        <v>0</v>
      </c>
      <c r="CB135" s="11" t="n">
        <v>0</v>
      </c>
      <c r="CC135" s="11" t="n">
        <v>0</v>
      </c>
      <c r="CD135" s="11" t="n">
        <v>0</v>
      </c>
      <c r="CE135" s="11" t="n">
        <v>0</v>
      </c>
    </row>
    <row r="136">
      <c r="A136" s="14" t="inlineStr">
        <is>
          <t>2026-01-09</t>
        </is>
      </c>
      <c r="B136" s="8" t="n">
        <v>0</v>
      </c>
      <c r="C136" s="8" t="n">
        <v>0</v>
      </c>
      <c r="D136" s="8" t="n">
        <v>0</v>
      </c>
      <c r="E136" s="8" t="n">
        <v>0</v>
      </c>
      <c r="F136" s="8" t="n">
        <v>0</v>
      </c>
      <c r="G136" s="8" t="n">
        <v>0</v>
      </c>
      <c r="H136" s="8" t="n">
        <v>0</v>
      </c>
      <c r="I136" s="8" t="n">
        <v>3</v>
      </c>
      <c r="J136" s="8" t="n">
        <v>0</v>
      </c>
      <c r="K136" s="8" t="n">
        <v>0</v>
      </c>
      <c r="L136" s="8" t="n">
        <v>0</v>
      </c>
      <c r="M136" s="8" t="n">
        <v>0</v>
      </c>
      <c r="N136" s="8" t="n">
        <v>0</v>
      </c>
      <c r="O136" s="8" t="n">
        <v>0</v>
      </c>
      <c r="P136" s="8" t="n">
        <v>0</v>
      </c>
      <c r="Q136" s="8" t="n">
        <v>1.5</v>
      </c>
      <c r="R136" s="8" t="n">
        <v>10</v>
      </c>
      <c r="S136" s="8" t="n">
        <v>0</v>
      </c>
      <c r="T136" s="8" t="n">
        <v>12</v>
      </c>
      <c r="U136" s="8" t="n">
        <v>0</v>
      </c>
      <c r="V136" s="8" t="n">
        <v>0</v>
      </c>
      <c r="W136" s="8" t="n">
        <v>0</v>
      </c>
      <c r="X136" s="8" t="n">
        <v>0</v>
      </c>
      <c r="Y136" s="8" t="n">
        <v>0</v>
      </c>
      <c r="Z136" s="8" t="n">
        <v>0</v>
      </c>
      <c r="AA136" s="8" t="n">
        <v>0</v>
      </c>
      <c r="AB136" s="8" t="n">
        <v>0</v>
      </c>
      <c r="AC136" s="8" t="n">
        <v>0</v>
      </c>
      <c r="AD136" s="8" t="n">
        <v>0</v>
      </c>
      <c r="AE136" s="8" t="n">
        <v>0</v>
      </c>
      <c r="AF136" s="8" t="n">
        <v>12</v>
      </c>
      <c r="AG136" s="8" t="n">
        <v>1.5</v>
      </c>
      <c r="AH136" s="8" t="n">
        <v>3.85</v>
      </c>
      <c r="AI136" s="8" t="n">
        <v>0</v>
      </c>
      <c r="AJ136" s="8" t="n">
        <v>0</v>
      </c>
      <c r="AK136" s="8" t="n">
        <v>0</v>
      </c>
      <c r="AL136" s="8" t="n">
        <v>4</v>
      </c>
      <c r="AM136" s="8" t="n">
        <v>0</v>
      </c>
      <c r="AN136" s="8" t="n">
        <v>0</v>
      </c>
      <c r="AO136" s="8" t="n">
        <v>1</v>
      </c>
      <c r="AP136" s="8" t="n">
        <v>0</v>
      </c>
      <c r="AQ136" s="8" t="n">
        <v>1</v>
      </c>
      <c r="AR136" s="8" t="n">
        <v>0</v>
      </c>
      <c r="AS136" s="8" t="n">
        <v>0</v>
      </c>
      <c r="AT136" s="8" t="n">
        <v>0</v>
      </c>
      <c r="AU136" s="8" t="n">
        <v>0</v>
      </c>
      <c r="AV136" s="8" t="n">
        <v>0</v>
      </c>
      <c r="AW136" s="8" t="n">
        <v>0</v>
      </c>
      <c r="AX136" s="8" t="n">
        <v>0</v>
      </c>
      <c r="AY136" s="8" t="n">
        <v>0</v>
      </c>
      <c r="AZ136" s="8" t="n">
        <v>3</v>
      </c>
      <c r="BA136" s="8" t="n">
        <v>3</v>
      </c>
      <c r="BB136" s="8" t="n">
        <v>0</v>
      </c>
      <c r="BC136" s="8" t="n">
        <v>0</v>
      </c>
      <c r="BD136" s="8" t="n">
        <v>0</v>
      </c>
      <c r="BE136" s="8" t="n">
        <v>0</v>
      </c>
      <c r="BF136" s="8" t="n">
        <v>0</v>
      </c>
      <c r="BG136" s="8" t="n">
        <v>0</v>
      </c>
      <c r="BH136" s="8" t="n">
        <v>0</v>
      </c>
      <c r="BI136" s="8" t="n">
        <v>0</v>
      </c>
      <c r="BJ136" s="8" t="n">
        <v>0</v>
      </c>
      <c r="BK136" s="8" t="n">
        <v>0</v>
      </c>
      <c r="BL136" s="8" t="n">
        <v>9</v>
      </c>
      <c r="BM136" s="8" t="n">
        <v>0</v>
      </c>
      <c r="BN136" s="8" t="n">
        <v>12</v>
      </c>
      <c r="BO136" s="8" t="n">
        <v>0</v>
      </c>
      <c r="BP136" s="8" t="n">
        <v>0</v>
      </c>
      <c r="BQ136" s="8" t="n">
        <v>0</v>
      </c>
      <c r="BR136" s="8" t="n">
        <v>0</v>
      </c>
      <c r="BS136" s="8" t="n">
        <v>0</v>
      </c>
      <c r="BT136" s="8" t="n">
        <v>0</v>
      </c>
      <c r="BU136" s="8" t="n">
        <v>0</v>
      </c>
      <c r="BV136" s="8" t="n">
        <v>5</v>
      </c>
      <c r="BW136" s="8" t="n">
        <v>0</v>
      </c>
      <c r="BX136" s="8" t="n">
        <v>0</v>
      </c>
      <c r="BY136" s="8" t="n">
        <v>0</v>
      </c>
      <c r="BZ136" s="8" t="n">
        <v>0</v>
      </c>
      <c r="CA136" s="8" t="n">
        <v>0</v>
      </c>
      <c r="CB136" s="8" t="n">
        <v>0</v>
      </c>
      <c r="CC136" s="8" t="n">
        <v>0</v>
      </c>
      <c r="CD136" s="8" t="n">
        <v>0</v>
      </c>
      <c r="CE136" s="8" t="n">
        <v>0</v>
      </c>
    </row>
    <row r="137">
      <c r="A137" s="15" t="inlineStr">
        <is>
          <t>2026-01-12</t>
        </is>
      </c>
      <c r="B137" s="11" t="n">
        <v>0</v>
      </c>
      <c r="C137" s="11" t="n">
        <v>0</v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3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  <c r="P137" s="11" t="n">
        <v>0</v>
      </c>
      <c r="Q137" s="11" t="n">
        <v>1.5</v>
      </c>
      <c r="R137" s="11" t="n">
        <v>10</v>
      </c>
      <c r="S137" s="11" t="n">
        <v>0</v>
      </c>
      <c r="T137" s="11" t="n">
        <v>12</v>
      </c>
      <c r="U137" s="11" t="n">
        <v>0</v>
      </c>
      <c r="V137" s="11" t="n">
        <v>0</v>
      </c>
      <c r="W137" s="11" t="n">
        <v>0</v>
      </c>
      <c r="X137" s="11" t="n">
        <v>0</v>
      </c>
      <c r="Y137" s="11" t="n">
        <v>0</v>
      </c>
      <c r="Z137" s="11" t="n">
        <v>0</v>
      </c>
      <c r="AA137" s="11" t="n">
        <v>0</v>
      </c>
      <c r="AB137" s="11" t="n">
        <v>0</v>
      </c>
      <c r="AC137" s="11" t="n">
        <v>0</v>
      </c>
      <c r="AD137" s="11" t="n">
        <v>0</v>
      </c>
      <c r="AE137" s="11" t="n">
        <v>0</v>
      </c>
      <c r="AF137" s="11" t="n">
        <v>12</v>
      </c>
      <c r="AG137" s="11" t="n">
        <v>1.5</v>
      </c>
      <c r="AH137" s="11" t="n">
        <v>3.85</v>
      </c>
      <c r="AI137" s="11" t="n">
        <v>0</v>
      </c>
      <c r="AJ137" s="11" t="n">
        <v>0</v>
      </c>
      <c r="AK137" s="11" t="n">
        <v>0</v>
      </c>
      <c r="AL137" s="11" t="n">
        <v>4</v>
      </c>
      <c r="AM137" s="11" t="n">
        <v>0</v>
      </c>
      <c r="AN137" s="11" t="n">
        <v>0</v>
      </c>
      <c r="AO137" s="11" t="n">
        <v>1</v>
      </c>
      <c r="AP137" s="11" t="n">
        <v>0</v>
      </c>
      <c r="AQ137" s="11" t="n">
        <v>1</v>
      </c>
      <c r="AR137" s="11" t="n">
        <v>0</v>
      </c>
      <c r="AS137" s="11" t="n">
        <v>0</v>
      </c>
      <c r="AT137" s="11" t="n">
        <v>0</v>
      </c>
      <c r="AU137" s="11" t="n">
        <v>0</v>
      </c>
      <c r="AV137" s="11" t="n">
        <v>0</v>
      </c>
      <c r="AW137" s="11" t="n">
        <v>0</v>
      </c>
      <c r="AX137" s="11" t="n">
        <v>0</v>
      </c>
      <c r="AY137" s="11" t="n">
        <v>0</v>
      </c>
      <c r="AZ137" s="11" t="n">
        <v>3</v>
      </c>
      <c r="BA137" s="11" t="n">
        <v>3</v>
      </c>
      <c r="BB137" s="11" t="n">
        <v>0</v>
      </c>
      <c r="BC137" s="11" t="n">
        <v>0</v>
      </c>
      <c r="BD137" s="11" t="n">
        <v>0</v>
      </c>
      <c r="BE137" s="11" t="n">
        <v>0</v>
      </c>
      <c r="BF137" s="11" t="n">
        <v>0</v>
      </c>
      <c r="BG137" s="11" t="n">
        <v>0</v>
      </c>
      <c r="BH137" s="11" t="n">
        <v>0</v>
      </c>
      <c r="BI137" s="11" t="n">
        <v>0</v>
      </c>
      <c r="BJ137" s="11" t="n">
        <v>0</v>
      </c>
      <c r="BK137" s="11" t="n">
        <v>0</v>
      </c>
      <c r="BL137" s="11" t="n">
        <v>9</v>
      </c>
      <c r="BM137" s="11" t="n">
        <v>0</v>
      </c>
      <c r="BN137" s="11" t="n">
        <v>12</v>
      </c>
      <c r="BO137" s="11" t="n">
        <v>0</v>
      </c>
      <c r="BP137" s="11" t="n">
        <v>0</v>
      </c>
      <c r="BQ137" s="11" t="n">
        <v>0</v>
      </c>
      <c r="BR137" s="11" t="n">
        <v>0</v>
      </c>
      <c r="BS137" s="11" t="n">
        <v>0</v>
      </c>
      <c r="BT137" s="11" t="n">
        <v>0</v>
      </c>
      <c r="BU137" s="11" t="n">
        <v>0</v>
      </c>
      <c r="BV137" s="11" t="n">
        <v>5</v>
      </c>
      <c r="BW137" s="11" t="n">
        <v>0</v>
      </c>
      <c r="BX137" s="11" t="n">
        <v>0</v>
      </c>
      <c r="BY137" s="11" t="n">
        <v>0</v>
      </c>
      <c r="BZ137" s="11" t="n">
        <v>0</v>
      </c>
      <c r="CA137" s="11" t="n">
        <v>0</v>
      </c>
      <c r="CB137" s="11" t="n">
        <v>0</v>
      </c>
      <c r="CC137" s="11" t="n">
        <v>0</v>
      </c>
      <c r="CD137" s="11" t="n">
        <v>0</v>
      </c>
      <c r="CE137" s="11" t="n">
        <v>0</v>
      </c>
    </row>
    <row r="138">
      <c r="A138" s="14" t="inlineStr">
        <is>
          <t>2026-01-13</t>
        </is>
      </c>
      <c r="B138" s="8" t="n">
        <v>0</v>
      </c>
      <c r="C138" s="8" t="n">
        <v>0</v>
      </c>
      <c r="D138" s="8" t="n">
        <v>0</v>
      </c>
      <c r="E138" s="8" t="n">
        <v>0</v>
      </c>
      <c r="F138" s="8" t="n">
        <v>0</v>
      </c>
      <c r="G138" s="8" t="n">
        <v>0</v>
      </c>
      <c r="H138" s="8" t="n">
        <v>0</v>
      </c>
      <c r="I138" s="8" t="n">
        <v>3</v>
      </c>
      <c r="J138" s="8" t="n">
        <v>0</v>
      </c>
      <c r="K138" s="8" t="n">
        <v>0</v>
      </c>
      <c r="L138" s="8" t="n">
        <v>0</v>
      </c>
      <c r="M138" s="8" t="n">
        <v>0</v>
      </c>
      <c r="N138" s="8" t="n">
        <v>0</v>
      </c>
      <c r="O138" s="8" t="n">
        <v>0</v>
      </c>
      <c r="P138" s="8" t="n">
        <v>0</v>
      </c>
      <c r="Q138" s="8" t="n">
        <v>1.5</v>
      </c>
      <c r="R138" s="8" t="n">
        <v>10</v>
      </c>
      <c r="S138" s="8" t="n">
        <v>0</v>
      </c>
      <c r="T138" s="8" t="n">
        <v>12</v>
      </c>
      <c r="U138" s="8" t="n">
        <v>0</v>
      </c>
      <c r="V138" s="8" t="n">
        <v>0</v>
      </c>
      <c r="W138" s="8" t="n">
        <v>0</v>
      </c>
      <c r="X138" s="8" t="n">
        <v>0</v>
      </c>
      <c r="Y138" s="8" t="n">
        <v>0</v>
      </c>
      <c r="Z138" s="8" t="n">
        <v>0</v>
      </c>
      <c r="AA138" s="8" t="n">
        <v>0</v>
      </c>
      <c r="AB138" s="8" t="n">
        <v>0</v>
      </c>
      <c r="AC138" s="8" t="n">
        <v>0</v>
      </c>
      <c r="AD138" s="8" t="n">
        <v>0</v>
      </c>
      <c r="AE138" s="8" t="n">
        <v>0</v>
      </c>
      <c r="AF138" s="8" t="n">
        <v>12</v>
      </c>
      <c r="AG138" s="8" t="n">
        <v>1.5</v>
      </c>
      <c r="AH138" s="8" t="n">
        <v>4.85</v>
      </c>
      <c r="AI138" s="8" t="n">
        <v>0</v>
      </c>
      <c r="AJ138" s="8" t="n">
        <v>0</v>
      </c>
      <c r="AK138" s="8" t="n">
        <v>0</v>
      </c>
      <c r="AL138" s="8" t="n">
        <v>4</v>
      </c>
      <c r="AM138" s="8" t="n">
        <v>0</v>
      </c>
      <c r="AN138" s="8" t="n">
        <v>0</v>
      </c>
      <c r="AO138" s="8" t="n">
        <v>1</v>
      </c>
      <c r="AP138" s="8" t="n">
        <v>0</v>
      </c>
      <c r="AQ138" s="8" t="n">
        <v>0</v>
      </c>
      <c r="AR138" s="8" t="n">
        <v>0</v>
      </c>
      <c r="AS138" s="8" t="n">
        <v>0</v>
      </c>
      <c r="AT138" s="8" t="n">
        <v>0</v>
      </c>
      <c r="AU138" s="8" t="n">
        <v>0</v>
      </c>
      <c r="AV138" s="8" t="n">
        <v>0</v>
      </c>
      <c r="AW138" s="8" t="n">
        <v>0</v>
      </c>
      <c r="AX138" s="8" t="n">
        <v>0</v>
      </c>
      <c r="AY138" s="8" t="n">
        <v>0</v>
      </c>
      <c r="AZ138" s="8" t="n">
        <v>3</v>
      </c>
      <c r="BA138" s="8" t="n">
        <v>4</v>
      </c>
      <c r="BB138" s="8" t="n">
        <v>0</v>
      </c>
      <c r="BC138" s="8" t="n">
        <v>0</v>
      </c>
      <c r="BD138" s="8" t="n">
        <v>0</v>
      </c>
      <c r="BE138" s="8" t="n">
        <v>0</v>
      </c>
      <c r="BF138" s="8" t="n">
        <v>0</v>
      </c>
      <c r="BG138" s="8" t="n">
        <v>0</v>
      </c>
      <c r="BH138" s="8" t="n">
        <v>0</v>
      </c>
      <c r="BI138" s="8" t="n">
        <v>0</v>
      </c>
      <c r="BJ138" s="8" t="n">
        <v>0</v>
      </c>
      <c r="BK138" s="8" t="n">
        <v>0</v>
      </c>
      <c r="BL138" s="8" t="n">
        <v>9</v>
      </c>
      <c r="BM138" s="8" t="n">
        <v>0</v>
      </c>
      <c r="BN138" s="8" t="n">
        <v>12</v>
      </c>
      <c r="BO138" s="8" t="n">
        <v>0</v>
      </c>
      <c r="BP138" s="8" t="n">
        <v>0</v>
      </c>
      <c r="BQ138" s="8" t="n">
        <v>0</v>
      </c>
      <c r="BR138" s="8" t="n">
        <v>0</v>
      </c>
      <c r="BS138" s="8" t="n">
        <v>0</v>
      </c>
      <c r="BT138" s="8" t="n">
        <v>0</v>
      </c>
      <c r="BU138" s="8" t="n">
        <v>0</v>
      </c>
      <c r="BV138" s="8" t="n">
        <v>5</v>
      </c>
      <c r="BW138" s="8" t="n">
        <v>0</v>
      </c>
      <c r="BX138" s="8" t="n">
        <v>0</v>
      </c>
      <c r="BY138" s="8" t="n">
        <v>0</v>
      </c>
      <c r="BZ138" s="8" t="n">
        <v>0</v>
      </c>
      <c r="CA138" s="8" t="n">
        <v>0</v>
      </c>
      <c r="CB138" s="8" t="n">
        <v>0</v>
      </c>
      <c r="CC138" s="8" t="n">
        <v>0</v>
      </c>
      <c r="CD138" s="8" t="n">
        <v>0</v>
      </c>
      <c r="CE138" s="8" t="n">
        <v>0</v>
      </c>
    </row>
    <row r="139">
      <c r="A139" s="15" t="inlineStr">
        <is>
          <t>2026-01-14</t>
        </is>
      </c>
      <c r="B139" s="11" t="n">
        <v>0</v>
      </c>
      <c r="C139" s="11" t="n">
        <v>0</v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3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  <c r="P139" s="11" t="n">
        <v>0</v>
      </c>
      <c r="Q139" s="11" t="n">
        <v>1.5</v>
      </c>
      <c r="R139" s="11" t="n">
        <v>10</v>
      </c>
      <c r="S139" s="11" t="n">
        <v>0</v>
      </c>
      <c r="T139" s="11" t="n">
        <v>17</v>
      </c>
      <c r="U139" s="11" t="n">
        <v>0</v>
      </c>
      <c r="V139" s="11" t="n">
        <v>0</v>
      </c>
      <c r="W139" s="11" t="n">
        <v>0</v>
      </c>
      <c r="X139" s="11" t="n">
        <v>0</v>
      </c>
      <c r="Y139" s="11" t="n">
        <v>0</v>
      </c>
      <c r="Z139" s="11" t="n">
        <v>0</v>
      </c>
      <c r="AA139" s="11" t="n">
        <v>0</v>
      </c>
      <c r="AB139" s="11" t="n">
        <v>0</v>
      </c>
      <c r="AC139" s="11" t="n">
        <v>0</v>
      </c>
      <c r="AD139" s="11" t="n">
        <v>0</v>
      </c>
      <c r="AE139" s="11" t="n">
        <v>0</v>
      </c>
      <c r="AF139" s="11" t="n">
        <v>6</v>
      </c>
      <c r="AG139" s="11" t="n">
        <v>0</v>
      </c>
      <c r="AH139" s="11" t="n">
        <v>4.85</v>
      </c>
      <c r="AI139" s="11" t="n">
        <v>0</v>
      </c>
      <c r="AJ139" s="11" t="n">
        <v>0</v>
      </c>
      <c r="AK139" s="11" t="n">
        <v>0</v>
      </c>
      <c r="AL139" s="11" t="n">
        <v>4</v>
      </c>
      <c r="AM139" s="11" t="n">
        <v>0</v>
      </c>
      <c r="AN139" s="11" t="n">
        <v>0</v>
      </c>
      <c r="AO139" s="11" t="n">
        <v>1</v>
      </c>
      <c r="AP139" s="11" t="n">
        <v>0</v>
      </c>
      <c r="AQ139" s="11" t="n">
        <v>0</v>
      </c>
      <c r="AR139" s="11" t="n">
        <v>0</v>
      </c>
      <c r="AS139" s="11" t="n">
        <v>0</v>
      </c>
      <c r="AT139" s="11" t="n">
        <v>0</v>
      </c>
      <c r="AU139" s="11" t="n">
        <v>0</v>
      </c>
      <c r="AV139" s="11" t="n">
        <v>0</v>
      </c>
      <c r="AW139" s="11" t="n">
        <v>0</v>
      </c>
      <c r="AX139" s="11" t="n">
        <v>0</v>
      </c>
      <c r="AY139" s="11" t="n">
        <v>0</v>
      </c>
      <c r="AZ139" s="11" t="n">
        <v>3</v>
      </c>
      <c r="BA139" s="11" t="n">
        <v>6</v>
      </c>
      <c r="BB139" s="11" t="n">
        <v>0</v>
      </c>
      <c r="BC139" s="11" t="n">
        <v>0</v>
      </c>
      <c r="BD139" s="11" t="n">
        <v>0</v>
      </c>
      <c r="BE139" s="11" t="n">
        <v>0</v>
      </c>
      <c r="BF139" s="11" t="n">
        <v>0</v>
      </c>
      <c r="BG139" s="11" t="n">
        <v>0</v>
      </c>
      <c r="BH139" s="11" t="n">
        <v>0</v>
      </c>
      <c r="BI139" s="11" t="n">
        <v>0</v>
      </c>
      <c r="BJ139" s="11" t="n">
        <v>0</v>
      </c>
      <c r="BK139" s="11" t="n">
        <v>0</v>
      </c>
      <c r="BL139" s="11" t="n">
        <v>4</v>
      </c>
      <c r="BM139" s="11" t="n">
        <v>0</v>
      </c>
      <c r="BN139" s="11" t="n">
        <v>19</v>
      </c>
      <c r="BO139" s="11" t="n">
        <v>0</v>
      </c>
      <c r="BP139" s="11" t="n">
        <v>0</v>
      </c>
      <c r="BQ139" s="11" t="n">
        <v>0</v>
      </c>
      <c r="BR139" s="11" t="n">
        <v>0</v>
      </c>
      <c r="BS139" s="11" t="n">
        <v>0</v>
      </c>
      <c r="BT139" s="11" t="n">
        <v>0</v>
      </c>
      <c r="BU139" s="11" t="n">
        <v>0</v>
      </c>
      <c r="BV139" s="11" t="n">
        <v>6</v>
      </c>
      <c r="BW139" s="11" t="n">
        <v>0</v>
      </c>
      <c r="BX139" s="11" t="n">
        <v>0</v>
      </c>
      <c r="BY139" s="11" t="n">
        <v>0</v>
      </c>
      <c r="BZ139" s="11" t="n">
        <v>0</v>
      </c>
      <c r="CA139" s="11" t="n">
        <v>0</v>
      </c>
      <c r="CB139" s="11" t="n">
        <v>0</v>
      </c>
      <c r="CC139" s="11" t="n">
        <v>0</v>
      </c>
      <c r="CD139" s="11" t="n">
        <v>0</v>
      </c>
      <c r="CE139" s="11" t="n">
        <v>0</v>
      </c>
    </row>
    <row r="140">
      <c r="A140" s="14" t="inlineStr">
        <is>
          <t>2026-01-15</t>
        </is>
      </c>
      <c r="B140" s="8" t="n">
        <v>0</v>
      </c>
      <c r="C140" s="8" t="n">
        <v>0</v>
      </c>
      <c r="D140" s="8" t="n">
        <v>0</v>
      </c>
      <c r="E140" s="8" t="n">
        <v>0</v>
      </c>
      <c r="F140" s="8" t="n">
        <v>0</v>
      </c>
      <c r="G140" s="8" t="n">
        <v>0</v>
      </c>
      <c r="H140" s="8" t="n">
        <v>0</v>
      </c>
      <c r="I140" s="8" t="n">
        <v>3</v>
      </c>
      <c r="J140" s="8" t="n">
        <v>0</v>
      </c>
      <c r="K140" s="8" t="n">
        <v>0</v>
      </c>
      <c r="L140" s="8" t="n">
        <v>0</v>
      </c>
      <c r="M140" s="8" t="n">
        <v>0</v>
      </c>
      <c r="N140" s="8" t="n">
        <v>0</v>
      </c>
      <c r="O140" s="8" t="n">
        <v>0</v>
      </c>
      <c r="P140" s="8" t="n">
        <v>0</v>
      </c>
      <c r="Q140" s="8" t="n">
        <v>1.5</v>
      </c>
      <c r="R140" s="8" t="n">
        <v>10</v>
      </c>
      <c r="S140" s="8" t="n">
        <v>0</v>
      </c>
      <c r="T140" s="8" t="n">
        <v>17</v>
      </c>
      <c r="U140" s="8" t="n">
        <v>0</v>
      </c>
      <c r="V140" s="8" t="n">
        <v>0</v>
      </c>
      <c r="W140" s="8" t="n">
        <v>0</v>
      </c>
      <c r="X140" s="8" t="n">
        <v>0</v>
      </c>
      <c r="Y140" s="8" t="n">
        <v>0</v>
      </c>
      <c r="Z140" s="8" t="n">
        <v>0</v>
      </c>
      <c r="AA140" s="8" t="n">
        <v>0</v>
      </c>
      <c r="AB140" s="8" t="n">
        <v>0</v>
      </c>
      <c r="AC140" s="8" t="n">
        <v>0</v>
      </c>
      <c r="AD140" s="8" t="n">
        <v>0</v>
      </c>
      <c r="AE140" s="8" t="n">
        <v>0</v>
      </c>
      <c r="AF140" s="8" t="n">
        <v>6</v>
      </c>
      <c r="AG140" s="8" t="n">
        <v>0</v>
      </c>
      <c r="AH140" s="8" t="n">
        <v>4.85</v>
      </c>
      <c r="AI140" s="8" t="n">
        <v>0</v>
      </c>
      <c r="AJ140" s="8" t="n">
        <v>0</v>
      </c>
      <c r="AK140" s="8" t="n">
        <v>0</v>
      </c>
      <c r="AL140" s="8" t="n">
        <v>4</v>
      </c>
      <c r="AM140" s="8" t="n">
        <v>0</v>
      </c>
      <c r="AN140" s="8" t="n">
        <v>0</v>
      </c>
      <c r="AO140" s="8" t="n">
        <v>1</v>
      </c>
      <c r="AP140" s="8" t="n">
        <v>0</v>
      </c>
      <c r="AQ140" s="8" t="n">
        <v>0</v>
      </c>
      <c r="AR140" s="8" t="n">
        <v>0</v>
      </c>
      <c r="AS140" s="8" t="n">
        <v>0</v>
      </c>
      <c r="AT140" s="8" t="n">
        <v>0</v>
      </c>
      <c r="AU140" s="8" t="n">
        <v>0</v>
      </c>
      <c r="AV140" s="8" t="n">
        <v>0</v>
      </c>
      <c r="AW140" s="8" t="n">
        <v>0</v>
      </c>
      <c r="AX140" s="8" t="n">
        <v>0</v>
      </c>
      <c r="AY140" s="8" t="n">
        <v>0</v>
      </c>
      <c r="AZ140" s="8" t="n">
        <v>3</v>
      </c>
      <c r="BA140" s="8" t="n">
        <v>6</v>
      </c>
      <c r="BB140" s="8" t="n">
        <v>0</v>
      </c>
      <c r="BC140" s="8" t="n">
        <v>0</v>
      </c>
      <c r="BD140" s="8" t="n">
        <v>0</v>
      </c>
      <c r="BE140" s="8" t="n">
        <v>0</v>
      </c>
      <c r="BF140" s="8" t="n">
        <v>0</v>
      </c>
      <c r="BG140" s="8" t="n">
        <v>0</v>
      </c>
      <c r="BH140" s="8" t="n">
        <v>0</v>
      </c>
      <c r="BI140" s="8" t="n">
        <v>0</v>
      </c>
      <c r="BJ140" s="8" t="n">
        <v>0</v>
      </c>
      <c r="BK140" s="8" t="n">
        <v>0</v>
      </c>
      <c r="BL140" s="8" t="n">
        <v>4</v>
      </c>
      <c r="BM140" s="8" t="n">
        <v>0</v>
      </c>
      <c r="BN140" s="8" t="n">
        <v>19</v>
      </c>
      <c r="BO140" s="8" t="n">
        <v>0</v>
      </c>
      <c r="BP140" s="8" t="n">
        <v>0</v>
      </c>
      <c r="BQ140" s="8" t="n">
        <v>0</v>
      </c>
      <c r="BR140" s="8" t="n">
        <v>0</v>
      </c>
      <c r="BS140" s="8" t="n">
        <v>0</v>
      </c>
      <c r="BT140" s="8" t="n">
        <v>0</v>
      </c>
      <c r="BU140" s="8" t="n">
        <v>0</v>
      </c>
      <c r="BV140" s="8" t="n">
        <v>6</v>
      </c>
      <c r="BW140" s="8" t="n">
        <v>0</v>
      </c>
      <c r="BX140" s="8" t="n">
        <v>0</v>
      </c>
      <c r="BY140" s="8" t="n">
        <v>0</v>
      </c>
      <c r="BZ140" s="8" t="n">
        <v>0</v>
      </c>
      <c r="CA140" s="8" t="n">
        <v>0</v>
      </c>
      <c r="CB140" s="8" t="n">
        <v>0</v>
      </c>
      <c r="CC140" s="8" t="n">
        <v>0</v>
      </c>
      <c r="CD140" s="8" t="n">
        <v>0</v>
      </c>
      <c r="CE140" s="8" t="n">
        <v>0</v>
      </c>
    </row>
    <row r="141">
      <c r="A141" s="15" t="inlineStr">
        <is>
          <t>2026-01-16</t>
        </is>
      </c>
      <c r="B141" s="11" t="n">
        <v>0</v>
      </c>
      <c r="C141" s="11" t="n">
        <v>0</v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3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  <c r="P141" s="11" t="n">
        <v>0</v>
      </c>
      <c r="Q141" s="11" t="n">
        <v>1.5</v>
      </c>
      <c r="R141" s="11" t="n">
        <v>10</v>
      </c>
      <c r="S141" s="11" t="n">
        <v>0</v>
      </c>
      <c r="T141" s="11" t="n">
        <v>17</v>
      </c>
      <c r="U141" s="11" t="n">
        <v>0</v>
      </c>
      <c r="V141" s="11" t="n">
        <v>0</v>
      </c>
      <c r="W141" s="11" t="n">
        <v>0</v>
      </c>
      <c r="X141" s="11" t="n">
        <v>0</v>
      </c>
      <c r="Y141" s="11" t="n">
        <v>0</v>
      </c>
      <c r="Z141" s="11" t="n">
        <v>0</v>
      </c>
      <c r="AA141" s="11" t="n">
        <v>0</v>
      </c>
      <c r="AB141" s="11" t="n">
        <v>0</v>
      </c>
      <c r="AC141" s="11" t="n">
        <v>0</v>
      </c>
      <c r="AD141" s="11" t="n">
        <v>0</v>
      </c>
      <c r="AE141" s="11" t="n">
        <v>0</v>
      </c>
      <c r="AF141" s="11" t="n">
        <v>6</v>
      </c>
      <c r="AG141" s="11" t="n">
        <v>0</v>
      </c>
      <c r="AH141" s="11" t="n">
        <v>4.85</v>
      </c>
      <c r="AI141" s="11" t="n">
        <v>0</v>
      </c>
      <c r="AJ141" s="11" t="n">
        <v>0</v>
      </c>
      <c r="AK141" s="11" t="n">
        <v>0</v>
      </c>
      <c r="AL141" s="11" t="n">
        <v>4</v>
      </c>
      <c r="AM141" s="11" t="n">
        <v>0</v>
      </c>
      <c r="AN141" s="11" t="n">
        <v>0</v>
      </c>
      <c r="AO141" s="11" t="n">
        <v>1</v>
      </c>
      <c r="AP141" s="11" t="n">
        <v>0</v>
      </c>
      <c r="AQ141" s="11" t="n">
        <v>0</v>
      </c>
      <c r="AR141" s="11" t="n">
        <v>0</v>
      </c>
      <c r="AS141" s="11" t="n">
        <v>0</v>
      </c>
      <c r="AT141" s="11" t="n">
        <v>0</v>
      </c>
      <c r="AU141" s="11" t="n">
        <v>0</v>
      </c>
      <c r="AV141" s="11" t="n">
        <v>0</v>
      </c>
      <c r="AW141" s="11" t="n">
        <v>0</v>
      </c>
      <c r="AX141" s="11" t="n">
        <v>0</v>
      </c>
      <c r="AY141" s="11" t="n">
        <v>0</v>
      </c>
      <c r="AZ141" s="11" t="n">
        <v>3</v>
      </c>
      <c r="BA141" s="11" t="n">
        <v>6</v>
      </c>
      <c r="BB141" s="11" t="n">
        <v>0</v>
      </c>
      <c r="BC141" s="11" t="n">
        <v>0</v>
      </c>
      <c r="BD141" s="11" t="n">
        <v>0</v>
      </c>
      <c r="BE141" s="11" t="n">
        <v>0</v>
      </c>
      <c r="BF141" s="11" t="n">
        <v>0</v>
      </c>
      <c r="BG141" s="11" t="n">
        <v>0</v>
      </c>
      <c r="BH141" s="11" t="n">
        <v>0</v>
      </c>
      <c r="BI141" s="11" t="n">
        <v>0</v>
      </c>
      <c r="BJ141" s="11" t="n">
        <v>0</v>
      </c>
      <c r="BK141" s="11" t="n">
        <v>0</v>
      </c>
      <c r="BL141" s="11" t="n">
        <v>4</v>
      </c>
      <c r="BM141" s="11" t="n">
        <v>0</v>
      </c>
      <c r="BN141" s="11" t="n">
        <v>19</v>
      </c>
      <c r="BO141" s="11" t="n">
        <v>0</v>
      </c>
      <c r="BP141" s="11" t="n">
        <v>0</v>
      </c>
      <c r="BQ141" s="11" t="n">
        <v>0</v>
      </c>
      <c r="BR141" s="11" t="n">
        <v>0</v>
      </c>
      <c r="BS141" s="11" t="n">
        <v>0</v>
      </c>
      <c r="BT141" s="11" t="n">
        <v>0</v>
      </c>
      <c r="BU141" s="11" t="n">
        <v>0</v>
      </c>
      <c r="BV141" s="11" t="n">
        <v>6</v>
      </c>
      <c r="BW141" s="11" t="n">
        <v>0</v>
      </c>
      <c r="BX141" s="11" t="n">
        <v>0</v>
      </c>
      <c r="BY141" s="11" t="n">
        <v>0</v>
      </c>
      <c r="BZ141" s="11" t="n">
        <v>0</v>
      </c>
      <c r="CA141" s="11" t="n">
        <v>0</v>
      </c>
      <c r="CB141" s="11" t="n">
        <v>0</v>
      </c>
      <c r="CC141" s="11" t="n">
        <v>0</v>
      </c>
      <c r="CD141" s="11" t="n">
        <v>0</v>
      </c>
      <c r="CE141" s="11" t="n">
        <v>0</v>
      </c>
    </row>
    <row r="142">
      <c r="A142" s="14" t="inlineStr">
        <is>
          <t>2026-01-19</t>
        </is>
      </c>
      <c r="B142" s="8" t="n">
        <v>0</v>
      </c>
      <c r="C142" s="8" t="n">
        <v>0</v>
      </c>
      <c r="D142" s="8" t="n">
        <v>0</v>
      </c>
      <c r="E142" s="8" t="n">
        <v>0</v>
      </c>
      <c r="F142" s="8" t="n">
        <v>0</v>
      </c>
      <c r="G142" s="8" t="n">
        <v>0</v>
      </c>
      <c r="H142" s="8" t="n">
        <v>0</v>
      </c>
      <c r="I142" s="8" t="n">
        <v>3</v>
      </c>
      <c r="J142" s="8" t="n">
        <v>0</v>
      </c>
      <c r="K142" s="8" t="n">
        <v>0</v>
      </c>
      <c r="L142" s="8" t="n">
        <v>0</v>
      </c>
      <c r="M142" s="8" t="n">
        <v>0</v>
      </c>
      <c r="N142" s="8" t="n">
        <v>0</v>
      </c>
      <c r="O142" s="8" t="n">
        <v>0</v>
      </c>
      <c r="P142" s="8" t="n">
        <v>0</v>
      </c>
      <c r="Q142" s="8" t="n">
        <v>1.5</v>
      </c>
      <c r="R142" s="8" t="n">
        <v>10</v>
      </c>
      <c r="S142" s="8" t="n">
        <v>0</v>
      </c>
      <c r="T142" s="8" t="n">
        <v>17</v>
      </c>
      <c r="U142" s="8" t="n">
        <v>0</v>
      </c>
      <c r="V142" s="8" t="n">
        <v>0</v>
      </c>
      <c r="W142" s="8" t="n">
        <v>0</v>
      </c>
      <c r="X142" s="8" t="n">
        <v>0</v>
      </c>
      <c r="Y142" s="8" t="n">
        <v>0</v>
      </c>
      <c r="Z142" s="8" t="n">
        <v>0</v>
      </c>
      <c r="AA142" s="8" t="n">
        <v>0</v>
      </c>
      <c r="AB142" s="8" t="n">
        <v>0</v>
      </c>
      <c r="AC142" s="8" t="n">
        <v>0</v>
      </c>
      <c r="AD142" s="8" t="n">
        <v>0</v>
      </c>
      <c r="AE142" s="8" t="n">
        <v>0</v>
      </c>
      <c r="AF142" s="8" t="n">
        <v>6</v>
      </c>
      <c r="AG142" s="8" t="n">
        <v>0</v>
      </c>
      <c r="AH142" s="8" t="n">
        <v>4.85</v>
      </c>
      <c r="AI142" s="8" t="n">
        <v>0</v>
      </c>
      <c r="AJ142" s="8" t="n">
        <v>0</v>
      </c>
      <c r="AK142" s="8" t="n">
        <v>0</v>
      </c>
      <c r="AL142" s="8" t="n">
        <v>4</v>
      </c>
      <c r="AM142" s="8" t="n">
        <v>0</v>
      </c>
      <c r="AN142" s="8" t="n">
        <v>0</v>
      </c>
      <c r="AO142" s="8" t="n">
        <v>1</v>
      </c>
      <c r="AP142" s="8" t="n">
        <v>0</v>
      </c>
      <c r="AQ142" s="8" t="n">
        <v>0</v>
      </c>
      <c r="AR142" s="8" t="n">
        <v>0</v>
      </c>
      <c r="AS142" s="8" t="n">
        <v>0</v>
      </c>
      <c r="AT142" s="8" t="n">
        <v>0</v>
      </c>
      <c r="AU142" s="8" t="n">
        <v>0</v>
      </c>
      <c r="AV142" s="8" t="n">
        <v>0</v>
      </c>
      <c r="AW142" s="8" t="n">
        <v>0</v>
      </c>
      <c r="AX142" s="8" t="n">
        <v>0</v>
      </c>
      <c r="AY142" s="8" t="n">
        <v>0</v>
      </c>
      <c r="AZ142" s="8" t="n">
        <v>3</v>
      </c>
      <c r="BA142" s="8" t="n">
        <v>6</v>
      </c>
      <c r="BB142" s="8" t="n">
        <v>0</v>
      </c>
      <c r="BC142" s="8" t="n">
        <v>0</v>
      </c>
      <c r="BD142" s="8" t="n">
        <v>0</v>
      </c>
      <c r="BE142" s="8" t="n">
        <v>0</v>
      </c>
      <c r="BF142" s="8" t="n">
        <v>0</v>
      </c>
      <c r="BG142" s="8" t="n">
        <v>0</v>
      </c>
      <c r="BH142" s="8" t="n">
        <v>0</v>
      </c>
      <c r="BI142" s="8" t="n">
        <v>0</v>
      </c>
      <c r="BJ142" s="8" t="n">
        <v>0</v>
      </c>
      <c r="BK142" s="8" t="n">
        <v>0</v>
      </c>
      <c r="BL142" s="8" t="n">
        <v>4</v>
      </c>
      <c r="BM142" s="8" t="n">
        <v>0</v>
      </c>
      <c r="BN142" s="8" t="n">
        <v>19</v>
      </c>
      <c r="BO142" s="8" t="n">
        <v>0</v>
      </c>
      <c r="BP142" s="8" t="n">
        <v>0</v>
      </c>
      <c r="BQ142" s="8" t="n">
        <v>0</v>
      </c>
      <c r="BR142" s="8" t="n">
        <v>0</v>
      </c>
      <c r="BS142" s="8" t="n">
        <v>0</v>
      </c>
      <c r="BT142" s="8" t="n">
        <v>0</v>
      </c>
      <c r="BU142" s="8" t="n">
        <v>0</v>
      </c>
      <c r="BV142" s="8" t="n">
        <v>6</v>
      </c>
      <c r="BW142" s="8" t="n">
        <v>0</v>
      </c>
      <c r="BX142" s="8" t="n">
        <v>0</v>
      </c>
      <c r="BY142" s="8" t="n">
        <v>0</v>
      </c>
      <c r="BZ142" s="8" t="n">
        <v>0</v>
      </c>
      <c r="CA142" s="8" t="n">
        <v>0</v>
      </c>
      <c r="CB142" s="8" t="n">
        <v>0</v>
      </c>
      <c r="CC142" s="8" t="n">
        <v>0</v>
      </c>
      <c r="CD142" s="8" t="n">
        <v>0</v>
      </c>
      <c r="CE142" s="8" t="n">
        <v>0</v>
      </c>
    </row>
    <row r="143">
      <c r="A143" s="15" t="inlineStr">
        <is>
          <t>2026-01-20</t>
        </is>
      </c>
      <c r="B143" s="11" t="n">
        <v>0</v>
      </c>
      <c r="C143" s="11" t="n">
        <v>0</v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3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  <c r="P143" s="11" t="n">
        <v>0</v>
      </c>
      <c r="Q143" s="11" t="n">
        <v>1.5</v>
      </c>
      <c r="R143" s="11" t="n">
        <v>10</v>
      </c>
      <c r="S143" s="11" t="n">
        <v>0</v>
      </c>
      <c r="T143" s="11" t="n">
        <v>17</v>
      </c>
      <c r="U143" s="11" t="n">
        <v>0</v>
      </c>
      <c r="V143" s="11" t="n">
        <v>0</v>
      </c>
      <c r="W143" s="11" t="n">
        <v>0</v>
      </c>
      <c r="X143" s="11" t="n">
        <v>0</v>
      </c>
      <c r="Y143" s="11" t="n">
        <v>0</v>
      </c>
      <c r="Z143" s="11" t="n">
        <v>0</v>
      </c>
      <c r="AA143" s="11" t="n">
        <v>0</v>
      </c>
      <c r="AB143" s="11" t="n">
        <v>0</v>
      </c>
      <c r="AC143" s="11" t="n">
        <v>0</v>
      </c>
      <c r="AD143" s="11" t="n">
        <v>0</v>
      </c>
      <c r="AE143" s="11" t="n">
        <v>0</v>
      </c>
      <c r="AF143" s="11" t="n">
        <v>6</v>
      </c>
      <c r="AG143" s="11" t="n">
        <v>0</v>
      </c>
      <c r="AH143" s="11" t="n">
        <v>4.85</v>
      </c>
      <c r="AI143" s="11" t="n">
        <v>0</v>
      </c>
      <c r="AJ143" s="11" t="n">
        <v>0</v>
      </c>
      <c r="AK143" s="11" t="n">
        <v>0</v>
      </c>
      <c r="AL143" s="11" t="n">
        <v>4</v>
      </c>
      <c r="AM143" s="11" t="n">
        <v>0</v>
      </c>
      <c r="AN143" s="11" t="n">
        <v>0</v>
      </c>
      <c r="AO143" s="11" t="n">
        <v>1</v>
      </c>
      <c r="AP143" s="11" t="n">
        <v>0</v>
      </c>
      <c r="AQ143" s="11" t="n">
        <v>0</v>
      </c>
      <c r="AR143" s="11" t="n">
        <v>0</v>
      </c>
      <c r="AS143" s="11" t="n">
        <v>0</v>
      </c>
      <c r="AT143" s="11" t="n">
        <v>0</v>
      </c>
      <c r="AU143" s="11" t="n">
        <v>0</v>
      </c>
      <c r="AV143" s="11" t="n">
        <v>0</v>
      </c>
      <c r="AW143" s="11" t="n">
        <v>0</v>
      </c>
      <c r="AX143" s="11" t="n">
        <v>0</v>
      </c>
      <c r="AY143" s="11" t="n">
        <v>0</v>
      </c>
      <c r="AZ143" s="11" t="n">
        <v>3</v>
      </c>
      <c r="BA143" s="11" t="n">
        <v>6</v>
      </c>
      <c r="BB143" s="11" t="n">
        <v>0</v>
      </c>
      <c r="BC143" s="11" t="n">
        <v>0</v>
      </c>
      <c r="BD143" s="11" t="n">
        <v>0</v>
      </c>
      <c r="BE143" s="11" t="n">
        <v>0</v>
      </c>
      <c r="BF143" s="11" t="n">
        <v>0</v>
      </c>
      <c r="BG143" s="11" t="n">
        <v>0</v>
      </c>
      <c r="BH143" s="11" t="n">
        <v>0</v>
      </c>
      <c r="BI143" s="11" t="n">
        <v>0</v>
      </c>
      <c r="BJ143" s="11" t="n">
        <v>0</v>
      </c>
      <c r="BK143" s="11" t="n">
        <v>0</v>
      </c>
      <c r="BL143" s="11" t="n">
        <v>4</v>
      </c>
      <c r="BM143" s="11" t="n">
        <v>0</v>
      </c>
      <c r="BN143" s="11" t="n">
        <v>19</v>
      </c>
      <c r="BO143" s="11" t="n">
        <v>0</v>
      </c>
      <c r="BP143" s="11" t="n">
        <v>0</v>
      </c>
      <c r="BQ143" s="11" t="n">
        <v>0</v>
      </c>
      <c r="BR143" s="11" t="n">
        <v>0</v>
      </c>
      <c r="BS143" s="11" t="n">
        <v>0</v>
      </c>
      <c r="BT143" s="11" t="n">
        <v>0</v>
      </c>
      <c r="BU143" s="11" t="n">
        <v>0</v>
      </c>
      <c r="BV143" s="11" t="n">
        <v>6</v>
      </c>
      <c r="BW143" s="11" t="n">
        <v>0</v>
      </c>
      <c r="BX143" s="11" t="n">
        <v>0</v>
      </c>
      <c r="BY143" s="11" t="n">
        <v>0</v>
      </c>
      <c r="BZ143" s="11" t="n">
        <v>0</v>
      </c>
      <c r="CA143" s="11" t="n">
        <v>0</v>
      </c>
      <c r="CB143" s="11" t="n">
        <v>0</v>
      </c>
      <c r="CC143" s="11" t="n">
        <v>0</v>
      </c>
      <c r="CD143" s="11" t="n">
        <v>0</v>
      </c>
      <c r="CE143" s="11" t="n">
        <v>0</v>
      </c>
    </row>
    <row r="144">
      <c r="A144" s="14" t="inlineStr">
        <is>
          <t>2026-01-21</t>
        </is>
      </c>
      <c r="B144" s="8" t="n">
        <v>0</v>
      </c>
      <c r="C144" s="8" t="n">
        <v>0</v>
      </c>
      <c r="D144" s="8" t="n">
        <v>0</v>
      </c>
      <c r="E144" s="8" t="n">
        <v>0</v>
      </c>
      <c r="F144" s="8" t="n">
        <v>0</v>
      </c>
      <c r="G144" s="8" t="n">
        <v>0</v>
      </c>
      <c r="H144" s="8" t="n">
        <v>0</v>
      </c>
      <c r="I144" s="8" t="n">
        <v>3</v>
      </c>
      <c r="J144" s="8" t="n">
        <v>0</v>
      </c>
      <c r="K144" s="8" t="n">
        <v>0</v>
      </c>
      <c r="L144" s="8" t="n">
        <v>0</v>
      </c>
      <c r="M144" s="8" t="n">
        <v>0</v>
      </c>
      <c r="N144" s="8" t="n">
        <v>0</v>
      </c>
      <c r="O144" s="8" t="n">
        <v>0</v>
      </c>
      <c r="P144" s="8" t="n">
        <v>0</v>
      </c>
      <c r="Q144" s="8" t="n">
        <v>1.5</v>
      </c>
      <c r="R144" s="8" t="n">
        <v>10</v>
      </c>
      <c r="S144" s="8" t="n">
        <v>0</v>
      </c>
      <c r="T144" s="8" t="n">
        <v>17</v>
      </c>
      <c r="U144" s="8" t="n">
        <v>0</v>
      </c>
      <c r="V144" s="8" t="n">
        <v>0</v>
      </c>
      <c r="W144" s="8" t="n">
        <v>0</v>
      </c>
      <c r="X144" s="8" t="n">
        <v>0</v>
      </c>
      <c r="Y144" s="8" t="n">
        <v>0</v>
      </c>
      <c r="Z144" s="8" t="n">
        <v>0</v>
      </c>
      <c r="AA144" s="8" t="n">
        <v>0</v>
      </c>
      <c r="AB144" s="8" t="n">
        <v>0</v>
      </c>
      <c r="AC144" s="8" t="n">
        <v>0</v>
      </c>
      <c r="AD144" s="8" t="n">
        <v>0</v>
      </c>
      <c r="AE144" s="8" t="n">
        <v>0</v>
      </c>
      <c r="AF144" s="8" t="n">
        <v>6</v>
      </c>
      <c r="AG144" s="8" t="n">
        <v>0</v>
      </c>
      <c r="AH144" s="8" t="n">
        <v>4.85</v>
      </c>
      <c r="AI144" s="8" t="n">
        <v>0</v>
      </c>
      <c r="AJ144" s="8" t="n">
        <v>0</v>
      </c>
      <c r="AK144" s="8" t="n">
        <v>0</v>
      </c>
      <c r="AL144" s="8" t="n">
        <v>4</v>
      </c>
      <c r="AM144" s="8" t="n">
        <v>0</v>
      </c>
      <c r="AN144" s="8" t="n">
        <v>0</v>
      </c>
      <c r="AO144" s="8" t="n">
        <v>1</v>
      </c>
      <c r="AP144" s="8" t="n">
        <v>0</v>
      </c>
      <c r="AQ144" s="8" t="n">
        <v>0</v>
      </c>
      <c r="AR144" s="8" t="n">
        <v>0</v>
      </c>
      <c r="AS144" s="8" t="n">
        <v>0</v>
      </c>
      <c r="AT144" s="8" t="n">
        <v>0</v>
      </c>
      <c r="AU144" s="8" t="n">
        <v>0</v>
      </c>
      <c r="AV144" s="8" t="n">
        <v>0</v>
      </c>
      <c r="AW144" s="8" t="n">
        <v>0</v>
      </c>
      <c r="AX144" s="8" t="n">
        <v>0</v>
      </c>
      <c r="AY144" s="8" t="n">
        <v>0</v>
      </c>
      <c r="AZ144" s="8" t="n">
        <v>3</v>
      </c>
      <c r="BA144" s="8" t="n">
        <v>6</v>
      </c>
      <c r="BB144" s="8" t="n">
        <v>0</v>
      </c>
      <c r="BC144" s="8" t="n">
        <v>0</v>
      </c>
      <c r="BD144" s="8" t="n">
        <v>0</v>
      </c>
      <c r="BE144" s="8" t="n">
        <v>0</v>
      </c>
      <c r="BF144" s="8" t="n">
        <v>0</v>
      </c>
      <c r="BG144" s="8" t="n">
        <v>0</v>
      </c>
      <c r="BH144" s="8" t="n">
        <v>0</v>
      </c>
      <c r="BI144" s="8" t="n">
        <v>0</v>
      </c>
      <c r="BJ144" s="8" t="n">
        <v>0</v>
      </c>
      <c r="BK144" s="8" t="n">
        <v>0</v>
      </c>
      <c r="BL144" s="8" t="n">
        <v>4</v>
      </c>
      <c r="BM144" s="8" t="n">
        <v>0</v>
      </c>
      <c r="BN144" s="8" t="n">
        <v>19</v>
      </c>
      <c r="BO144" s="8" t="n">
        <v>0</v>
      </c>
      <c r="BP144" s="8" t="n">
        <v>0</v>
      </c>
      <c r="BQ144" s="8" t="n">
        <v>0</v>
      </c>
      <c r="BR144" s="8" t="n">
        <v>0</v>
      </c>
      <c r="BS144" s="8" t="n">
        <v>0</v>
      </c>
      <c r="BT144" s="8" t="n">
        <v>0</v>
      </c>
      <c r="BU144" s="8" t="n">
        <v>0</v>
      </c>
      <c r="BV144" s="8" t="n">
        <v>6</v>
      </c>
      <c r="BW144" s="8" t="n">
        <v>0</v>
      </c>
      <c r="BX144" s="8" t="n">
        <v>0</v>
      </c>
      <c r="BY144" s="8" t="n">
        <v>0</v>
      </c>
      <c r="BZ144" s="8" t="n">
        <v>0</v>
      </c>
      <c r="CA144" s="8" t="n">
        <v>0</v>
      </c>
      <c r="CB144" s="8" t="n">
        <v>0</v>
      </c>
      <c r="CC144" s="8" t="n">
        <v>0</v>
      </c>
      <c r="CD144" s="8" t="n">
        <v>0</v>
      </c>
      <c r="CE144" s="8" t="n">
        <v>0</v>
      </c>
    </row>
    <row r="145">
      <c r="A145" s="15" t="inlineStr">
        <is>
          <t>2026-01-22</t>
        </is>
      </c>
      <c r="B145" s="11" t="n">
        <v>0</v>
      </c>
      <c r="C145" s="11" t="n">
        <v>0</v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3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  <c r="P145" s="11" t="n">
        <v>0</v>
      </c>
      <c r="Q145" s="11" t="n">
        <v>1.5</v>
      </c>
      <c r="R145" s="11" t="n">
        <v>10</v>
      </c>
      <c r="S145" s="11" t="n">
        <v>0</v>
      </c>
      <c r="T145" s="11" t="n">
        <v>17</v>
      </c>
      <c r="U145" s="11" t="n">
        <v>0</v>
      </c>
      <c r="V145" s="11" t="n">
        <v>0</v>
      </c>
      <c r="W145" s="11" t="n">
        <v>0</v>
      </c>
      <c r="X145" s="11" t="n">
        <v>0</v>
      </c>
      <c r="Y145" s="11" t="n">
        <v>0</v>
      </c>
      <c r="Z145" s="11" t="n">
        <v>0</v>
      </c>
      <c r="AA145" s="11" t="n">
        <v>0</v>
      </c>
      <c r="AB145" s="11" t="n">
        <v>0</v>
      </c>
      <c r="AC145" s="11" t="n">
        <v>0</v>
      </c>
      <c r="AD145" s="11" t="n">
        <v>0</v>
      </c>
      <c r="AE145" s="11" t="n">
        <v>0</v>
      </c>
      <c r="AF145" s="11" t="n">
        <v>6</v>
      </c>
      <c r="AG145" s="11" t="n">
        <v>0</v>
      </c>
      <c r="AH145" s="11" t="n">
        <v>4.85</v>
      </c>
      <c r="AI145" s="11" t="n">
        <v>0</v>
      </c>
      <c r="AJ145" s="11" t="n">
        <v>0</v>
      </c>
      <c r="AK145" s="11" t="n">
        <v>0</v>
      </c>
      <c r="AL145" s="11" t="n">
        <v>2</v>
      </c>
      <c r="AM145" s="11" t="n">
        <v>0</v>
      </c>
      <c r="AN145" s="11" t="n">
        <v>0</v>
      </c>
      <c r="AO145" s="11" t="n">
        <v>1</v>
      </c>
      <c r="AP145" s="11" t="n">
        <v>0</v>
      </c>
      <c r="AQ145" s="11" t="n">
        <v>0</v>
      </c>
      <c r="AR145" s="11" t="n">
        <v>0</v>
      </c>
      <c r="AS145" s="11" t="n">
        <v>0</v>
      </c>
      <c r="AT145" s="11" t="n">
        <v>0</v>
      </c>
      <c r="AU145" s="11" t="n">
        <v>0</v>
      </c>
      <c r="AV145" s="11" t="n">
        <v>0</v>
      </c>
      <c r="AW145" s="11" t="n">
        <v>0</v>
      </c>
      <c r="AX145" s="11" t="n">
        <v>0</v>
      </c>
      <c r="AY145" s="11" t="n">
        <v>0</v>
      </c>
      <c r="AZ145" s="11" t="n">
        <v>3</v>
      </c>
      <c r="BA145" s="11" t="n">
        <v>6.5</v>
      </c>
      <c r="BB145" s="11" t="n">
        <v>0</v>
      </c>
      <c r="BC145" s="11" t="n">
        <v>0</v>
      </c>
      <c r="BD145" s="11" t="n">
        <v>0</v>
      </c>
      <c r="BE145" s="11" t="n">
        <v>0</v>
      </c>
      <c r="BF145" s="11" t="n">
        <v>0</v>
      </c>
      <c r="BG145" s="11" t="n">
        <v>0</v>
      </c>
      <c r="BH145" s="11" t="n">
        <v>0</v>
      </c>
      <c r="BI145" s="11" t="n">
        <v>0</v>
      </c>
      <c r="BJ145" s="11" t="n">
        <v>0</v>
      </c>
      <c r="BK145" s="11" t="n">
        <v>0</v>
      </c>
      <c r="BL145" s="11" t="n">
        <v>4</v>
      </c>
      <c r="BM145" s="11" t="n">
        <v>0</v>
      </c>
      <c r="BN145" s="11" t="n">
        <v>19</v>
      </c>
      <c r="BO145" s="11" t="n">
        <v>0</v>
      </c>
      <c r="BP145" s="11" t="n">
        <v>0</v>
      </c>
      <c r="BQ145" s="11" t="n">
        <v>0</v>
      </c>
      <c r="BR145" s="11" t="n">
        <v>0</v>
      </c>
      <c r="BS145" s="11" t="n">
        <v>0</v>
      </c>
      <c r="BT145" s="11" t="n">
        <v>0</v>
      </c>
      <c r="BU145" s="11" t="n">
        <v>0</v>
      </c>
      <c r="BV145" s="11" t="n">
        <v>6</v>
      </c>
      <c r="BW145" s="11" t="n">
        <v>0</v>
      </c>
      <c r="BX145" s="11" t="n">
        <v>0</v>
      </c>
      <c r="BY145" s="11" t="n">
        <v>0</v>
      </c>
      <c r="BZ145" s="11" t="n">
        <v>0</v>
      </c>
      <c r="CA145" s="11" t="n">
        <v>0</v>
      </c>
      <c r="CB145" s="11" t="n">
        <v>0</v>
      </c>
      <c r="CC145" s="11" t="n">
        <v>0</v>
      </c>
      <c r="CD145" s="11" t="n">
        <v>0</v>
      </c>
      <c r="CE145" s="11" t="n">
        <v>0</v>
      </c>
    </row>
    <row r="146">
      <c r="A146" s="14" t="inlineStr">
        <is>
          <t>2026-01-23</t>
        </is>
      </c>
      <c r="B146" s="8" t="n">
        <v>0</v>
      </c>
      <c r="C146" s="8" t="n">
        <v>0</v>
      </c>
      <c r="D146" s="8" t="n">
        <v>0</v>
      </c>
      <c r="E146" s="8" t="n">
        <v>0</v>
      </c>
      <c r="F146" s="8" t="n">
        <v>0</v>
      </c>
      <c r="G146" s="8" t="n">
        <v>0</v>
      </c>
      <c r="H146" s="8" t="n">
        <v>0</v>
      </c>
      <c r="I146" s="8" t="n">
        <v>3</v>
      </c>
      <c r="J146" s="8" t="n">
        <v>0</v>
      </c>
      <c r="K146" s="8" t="n">
        <v>0</v>
      </c>
      <c r="L146" s="8" t="n">
        <v>0</v>
      </c>
      <c r="M146" s="8" t="n">
        <v>0</v>
      </c>
      <c r="N146" s="8" t="n">
        <v>0</v>
      </c>
      <c r="O146" s="8" t="n">
        <v>0</v>
      </c>
      <c r="P146" s="8" t="n">
        <v>0</v>
      </c>
      <c r="Q146" s="8" t="n">
        <v>1.5</v>
      </c>
      <c r="R146" s="8" t="n">
        <v>10</v>
      </c>
      <c r="S146" s="8" t="n">
        <v>0</v>
      </c>
      <c r="T146" s="8" t="n">
        <v>17</v>
      </c>
      <c r="U146" s="8" t="n">
        <v>0</v>
      </c>
      <c r="V146" s="8" t="n">
        <v>0</v>
      </c>
      <c r="W146" s="8" t="n">
        <v>0</v>
      </c>
      <c r="X146" s="8" t="n">
        <v>0</v>
      </c>
      <c r="Y146" s="8" t="n">
        <v>0</v>
      </c>
      <c r="Z146" s="8" t="n">
        <v>0</v>
      </c>
      <c r="AA146" s="8" t="n">
        <v>0</v>
      </c>
      <c r="AB146" s="8" t="n">
        <v>0</v>
      </c>
      <c r="AC146" s="8" t="n">
        <v>0</v>
      </c>
      <c r="AD146" s="8" t="n">
        <v>0</v>
      </c>
      <c r="AE146" s="8" t="n">
        <v>0</v>
      </c>
      <c r="AF146" s="8" t="n">
        <v>6</v>
      </c>
      <c r="AG146" s="8" t="n">
        <v>0</v>
      </c>
      <c r="AH146" s="8" t="n">
        <v>4.85</v>
      </c>
      <c r="AI146" s="8" t="n">
        <v>0</v>
      </c>
      <c r="AJ146" s="8" t="n">
        <v>0</v>
      </c>
      <c r="AK146" s="8" t="n">
        <v>0</v>
      </c>
      <c r="AL146" s="8" t="n">
        <v>0</v>
      </c>
      <c r="AM146" s="8" t="n">
        <v>0</v>
      </c>
      <c r="AN146" s="8" t="n">
        <v>0</v>
      </c>
      <c r="AO146" s="8" t="n">
        <v>1</v>
      </c>
      <c r="AP146" s="8" t="n">
        <v>0</v>
      </c>
      <c r="AQ146" s="8" t="n">
        <v>0</v>
      </c>
      <c r="AR146" s="8" t="n">
        <v>0</v>
      </c>
      <c r="AS146" s="8" t="n">
        <v>0</v>
      </c>
      <c r="AT146" s="8" t="n">
        <v>0</v>
      </c>
      <c r="AU146" s="8" t="n">
        <v>0</v>
      </c>
      <c r="AV146" s="8" t="n">
        <v>0</v>
      </c>
      <c r="AW146" s="8" t="n">
        <v>0</v>
      </c>
      <c r="AX146" s="8" t="n">
        <v>0</v>
      </c>
      <c r="AY146" s="8" t="n">
        <v>0</v>
      </c>
      <c r="AZ146" s="8" t="n">
        <v>3</v>
      </c>
      <c r="BA146" s="8" t="n">
        <v>6.5</v>
      </c>
      <c r="BB146" s="8" t="n">
        <v>0</v>
      </c>
      <c r="BC146" s="8" t="n">
        <v>0</v>
      </c>
      <c r="BD146" s="8" t="n">
        <v>0</v>
      </c>
      <c r="BE146" s="8" t="n">
        <v>0</v>
      </c>
      <c r="BF146" s="8" t="n">
        <v>0</v>
      </c>
      <c r="BG146" s="8" t="n">
        <v>0</v>
      </c>
      <c r="BH146" s="8" t="n">
        <v>0</v>
      </c>
      <c r="BI146" s="8" t="n">
        <v>0</v>
      </c>
      <c r="BJ146" s="8" t="n">
        <v>0</v>
      </c>
      <c r="BK146" s="8" t="n">
        <v>0</v>
      </c>
      <c r="BL146" s="8" t="n">
        <v>4</v>
      </c>
      <c r="BM146" s="8" t="n">
        <v>0</v>
      </c>
      <c r="BN146" s="8" t="n">
        <v>19</v>
      </c>
      <c r="BO146" s="8" t="n">
        <v>0</v>
      </c>
      <c r="BP146" s="8" t="n">
        <v>0</v>
      </c>
      <c r="BQ146" s="8" t="n">
        <v>0</v>
      </c>
      <c r="BR146" s="8" t="n">
        <v>0</v>
      </c>
      <c r="BS146" s="8" t="n">
        <v>0</v>
      </c>
      <c r="BT146" s="8" t="n">
        <v>0</v>
      </c>
      <c r="BU146" s="8" t="n">
        <v>0</v>
      </c>
      <c r="BV146" s="8" t="n">
        <v>6</v>
      </c>
      <c r="BW146" s="8" t="n">
        <v>0</v>
      </c>
      <c r="BX146" s="8" t="n">
        <v>0</v>
      </c>
      <c r="BY146" s="8" t="n">
        <v>0</v>
      </c>
      <c r="BZ146" s="8" t="n">
        <v>0</v>
      </c>
      <c r="CA146" s="8" t="n">
        <v>0</v>
      </c>
      <c r="CB146" s="8" t="n">
        <v>0</v>
      </c>
      <c r="CC146" s="8" t="n">
        <v>0</v>
      </c>
      <c r="CD146" s="8" t="n">
        <v>0</v>
      </c>
      <c r="CE146" s="8" t="n">
        <v>0</v>
      </c>
    </row>
    <row r="147">
      <c r="A147" s="15" t="inlineStr">
        <is>
          <t>2026-01-26</t>
        </is>
      </c>
      <c r="B147" s="11" t="n">
        <v>0</v>
      </c>
      <c r="C147" s="11" t="n">
        <v>0</v>
      </c>
      <c r="D147" s="11" t="n">
        <v>0</v>
      </c>
      <c r="E147" s="11" t="n">
        <v>0</v>
      </c>
      <c r="F147" s="11" t="n">
        <v>0</v>
      </c>
      <c r="G147" s="11" t="n">
        <v>0</v>
      </c>
      <c r="H147" s="11" t="n">
        <v>0</v>
      </c>
      <c r="I147" s="11" t="n">
        <v>3</v>
      </c>
      <c r="J147" s="11" t="n">
        <v>0</v>
      </c>
      <c r="K147" s="11" t="n">
        <v>0</v>
      </c>
      <c r="L147" s="11" t="n">
        <v>0</v>
      </c>
      <c r="M147" s="11" t="n">
        <v>0</v>
      </c>
      <c r="N147" s="11" t="n">
        <v>0</v>
      </c>
      <c r="O147" s="11" t="n">
        <v>0</v>
      </c>
      <c r="P147" s="11" t="n">
        <v>0</v>
      </c>
      <c r="Q147" s="11" t="n">
        <v>1.5</v>
      </c>
      <c r="R147" s="11" t="n">
        <v>10</v>
      </c>
      <c r="S147" s="11" t="n">
        <v>0</v>
      </c>
      <c r="T147" s="11" t="n">
        <v>17</v>
      </c>
      <c r="U147" s="11" t="n">
        <v>0</v>
      </c>
      <c r="V147" s="11" t="n">
        <v>0</v>
      </c>
      <c r="W147" s="11" t="n">
        <v>0</v>
      </c>
      <c r="X147" s="11" t="n">
        <v>0</v>
      </c>
      <c r="Y147" s="11" t="n">
        <v>0</v>
      </c>
      <c r="Z147" s="11" t="n">
        <v>0</v>
      </c>
      <c r="AA147" s="11" t="n">
        <v>0</v>
      </c>
      <c r="AB147" s="11" t="n">
        <v>0</v>
      </c>
      <c r="AC147" s="11" t="n">
        <v>0</v>
      </c>
      <c r="AD147" s="11" t="n">
        <v>0</v>
      </c>
      <c r="AE147" s="11" t="n">
        <v>0</v>
      </c>
      <c r="AF147" s="11" t="n">
        <v>6</v>
      </c>
      <c r="AG147" s="11" t="n">
        <v>0</v>
      </c>
      <c r="AH147" s="11" t="n">
        <v>4.85</v>
      </c>
      <c r="AI147" s="11" t="n">
        <v>0</v>
      </c>
      <c r="AJ147" s="11" t="n">
        <v>0</v>
      </c>
      <c r="AK147" s="11" t="n">
        <v>0</v>
      </c>
      <c r="AL147" s="11" t="n">
        <v>0</v>
      </c>
      <c r="AM147" s="11" t="n">
        <v>0</v>
      </c>
      <c r="AN147" s="11" t="n">
        <v>0</v>
      </c>
      <c r="AO147" s="11" t="n">
        <v>1</v>
      </c>
      <c r="AP147" s="11" t="n">
        <v>0</v>
      </c>
      <c r="AQ147" s="11" t="n">
        <v>0</v>
      </c>
      <c r="AR147" s="11" t="n">
        <v>0</v>
      </c>
      <c r="AS147" s="11" t="n">
        <v>0</v>
      </c>
      <c r="AT147" s="11" t="n">
        <v>0</v>
      </c>
      <c r="AU147" s="11" t="n">
        <v>0</v>
      </c>
      <c r="AV147" s="11" t="n">
        <v>0</v>
      </c>
      <c r="AW147" s="11" t="n">
        <v>0</v>
      </c>
      <c r="AX147" s="11" t="n">
        <v>0</v>
      </c>
      <c r="AY147" s="11" t="n">
        <v>0</v>
      </c>
      <c r="AZ147" s="11" t="n">
        <v>3</v>
      </c>
      <c r="BA147" s="11" t="n">
        <v>6.5</v>
      </c>
      <c r="BB147" s="11" t="n">
        <v>0</v>
      </c>
      <c r="BC147" s="11" t="n">
        <v>0</v>
      </c>
      <c r="BD147" s="11" t="n">
        <v>0</v>
      </c>
      <c r="BE147" s="11" t="n">
        <v>0</v>
      </c>
      <c r="BF147" s="11" t="n">
        <v>0</v>
      </c>
      <c r="BG147" s="11" t="n">
        <v>0</v>
      </c>
      <c r="BH147" s="11" t="n">
        <v>0</v>
      </c>
      <c r="BI147" s="11" t="n">
        <v>0</v>
      </c>
      <c r="BJ147" s="11" t="n">
        <v>0</v>
      </c>
      <c r="BK147" s="11" t="n">
        <v>0</v>
      </c>
      <c r="BL147" s="11" t="n">
        <v>4</v>
      </c>
      <c r="BM147" s="11" t="n">
        <v>0</v>
      </c>
      <c r="BN147" s="11" t="n">
        <v>14</v>
      </c>
      <c r="BO147" s="11" t="n">
        <v>0</v>
      </c>
      <c r="BP147" s="11" t="n">
        <v>0</v>
      </c>
      <c r="BQ147" s="11" t="n">
        <v>0</v>
      </c>
      <c r="BR147" s="11" t="n">
        <v>0</v>
      </c>
      <c r="BS147" s="11" t="n">
        <v>0</v>
      </c>
      <c r="BT147" s="11" t="n">
        <v>0</v>
      </c>
      <c r="BU147" s="11" t="n">
        <v>0</v>
      </c>
      <c r="BV147" s="11" t="n">
        <v>6</v>
      </c>
      <c r="BW147" s="11" t="n">
        <v>0</v>
      </c>
      <c r="BX147" s="11" t="n">
        <v>0</v>
      </c>
      <c r="BY147" s="11" t="n">
        <v>0</v>
      </c>
      <c r="BZ147" s="11" t="n">
        <v>0</v>
      </c>
      <c r="CA147" s="11" t="n">
        <v>0</v>
      </c>
      <c r="CB147" s="11" t="n">
        <v>0</v>
      </c>
      <c r="CC147" s="11" t="n">
        <v>0</v>
      </c>
      <c r="CD147" s="11" t="n">
        <v>0</v>
      </c>
      <c r="CE147" s="11" t="n">
        <v>0</v>
      </c>
    </row>
    <row r="148">
      <c r="A148" s="14" t="inlineStr">
        <is>
          <t>2026-01-27</t>
        </is>
      </c>
      <c r="B148" s="8" t="n">
        <v>0</v>
      </c>
      <c r="C148" s="8" t="n">
        <v>0</v>
      </c>
      <c r="D148" s="8" t="n">
        <v>0</v>
      </c>
      <c r="E148" s="8" t="n">
        <v>0</v>
      </c>
      <c r="F148" s="8" t="n">
        <v>0</v>
      </c>
      <c r="G148" s="8" t="n">
        <v>0</v>
      </c>
      <c r="H148" s="8" t="n">
        <v>0</v>
      </c>
      <c r="I148" s="8" t="n">
        <v>3</v>
      </c>
      <c r="J148" s="8" t="n">
        <v>0</v>
      </c>
      <c r="K148" s="8" t="n">
        <v>0</v>
      </c>
      <c r="L148" s="8" t="n">
        <v>0</v>
      </c>
      <c r="M148" s="8" t="n">
        <v>0</v>
      </c>
      <c r="N148" s="8" t="n">
        <v>0</v>
      </c>
      <c r="O148" s="8" t="n">
        <v>0</v>
      </c>
      <c r="P148" s="8" t="n">
        <v>0</v>
      </c>
      <c r="Q148" s="8" t="n">
        <v>1.5</v>
      </c>
      <c r="R148" s="8" t="n">
        <v>6</v>
      </c>
      <c r="S148" s="8" t="n">
        <v>0</v>
      </c>
      <c r="T148" s="8" t="n">
        <v>17</v>
      </c>
      <c r="U148" s="8" t="n">
        <v>0</v>
      </c>
      <c r="V148" s="8" t="n">
        <v>0</v>
      </c>
      <c r="W148" s="8" t="n">
        <v>0</v>
      </c>
      <c r="X148" s="8" t="n">
        <v>0</v>
      </c>
      <c r="Y148" s="8" t="n">
        <v>0</v>
      </c>
      <c r="Z148" s="8" t="n">
        <v>0</v>
      </c>
      <c r="AA148" s="8" t="n">
        <v>0</v>
      </c>
      <c r="AB148" s="8" t="n">
        <v>0</v>
      </c>
      <c r="AC148" s="8" t="n">
        <v>0</v>
      </c>
      <c r="AD148" s="8" t="n">
        <v>0</v>
      </c>
      <c r="AE148" s="8" t="n">
        <v>0</v>
      </c>
      <c r="AF148" s="8" t="n">
        <v>6</v>
      </c>
      <c r="AG148" s="8" t="n">
        <v>0</v>
      </c>
      <c r="AH148" s="8" t="n">
        <v>4.85</v>
      </c>
      <c r="AI148" s="8" t="n">
        <v>0</v>
      </c>
      <c r="AJ148" s="8" t="n">
        <v>0</v>
      </c>
      <c r="AK148" s="8" t="n">
        <v>0</v>
      </c>
      <c r="AL148" s="8" t="n">
        <v>0</v>
      </c>
      <c r="AM148" s="8" t="n">
        <v>0</v>
      </c>
      <c r="AN148" s="8" t="n">
        <v>0</v>
      </c>
      <c r="AO148" s="8" t="n">
        <v>1</v>
      </c>
      <c r="AP148" s="8" t="n">
        <v>0</v>
      </c>
      <c r="AQ148" s="8" t="n">
        <v>0</v>
      </c>
      <c r="AR148" s="8" t="n">
        <v>0</v>
      </c>
      <c r="AS148" s="8" t="n">
        <v>0</v>
      </c>
      <c r="AT148" s="8" t="n">
        <v>0</v>
      </c>
      <c r="AU148" s="8" t="n">
        <v>0</v>
      </c>
      <c r="AV148" s="8" t="n">
        <v>0</v>
      </c>
      <c r="AW148" s="8" t="n">
        <v>0</v>
      </c>
      <c r="AX148" s="8" t="n">
        <v>0</v>
      </c>
      <c r="AY148" s="8" t="n">
        <v>0</v>
      </c>
      <c r="AZ148" s="8" t="n">
        <v>3</v>
      </c>
      <c r="BA148" s="8" t="n">
        <v>6.5</v>
      </c>
      <c r="BB148" s="8" t="n">
        <v>0</v>
      </c>
      <c r="BC148" s="8" t="n">
        <v>0</v>
      </c>
      <c r="BD148" s="8" t="n">
        <v>0</v>
      </c>
      <c r="BE148" s="8" t="n">
        <v>0</v>
      </c>
      <c r="BF148" s="8" t="n">
        <v>0</v>
      </c>
      <c r="BG148" s="8" t="n">
        <v>0</v>
      </c>
      <c r="BH148" s="8" t="n">
        <v>0</v>
      </c>
      <c r="BI148" s="8" t="n">
        <v>0</v>
      </c>
      <c r="BJ148" s="8" t="n">
        <v>0</v>
      </c>
      <c r="BK148" s="8" t="n">
        <v>0</v>
      </c>
      <c r="BL148" s="8" t="n">
        <v>4</v>
      </c>
      <c r="BM148" s="8" t="n">
        <v>0</v>
      </c>
      <c r="BN148" s="8" t="n">
        <v>10</v>
      </c>
      <c r="BO148" s="8" t="n">
        <v>0</v>
      </c>
      <c r="BP148" s="8" t="n">
        <v>0</v>
      </c>
      <c r="BQ148" s="8" t="n">
        <v>0</v>
      </c>
      <c r="BR148" s="8" t="n">
        <v>0</v>
      </c>
      <c r="BS148" s="8" t="n">
        <v>0</v>
      </c>
      <c r="BT148" s="8" t="n">
        <v>0</v>
      </c>
      <c r="BU148" s="8" t="n">
        <v>0</v>
      </c>
      <c r="BV148" s="8" t="n">
        <v>6</v>
      </c>
      <c r="BW148" s="8" t="n">
        <v>0</v>
      </c>
      <c r="BX148" s="8" t="n">
        <v>0</v>
      </c>
      <c r="BY148" s="8" t="n">
        <v>0</v>
      </c>
      <c r="BZ148" s="8" t="n">
        <v>0</v>
      </c>
      <c r="CA148" s="8" t="n">
        <v>0</v>
      </c>
      <c r="CB148" s="8" t="n">
        <v>0</v>
      </c>
      <c r="CC148" s="8" t="n">
        <v>0</v>
      </c>
      <c r="CD148" s="8" t="n">
        <v>0</v>
      </c>
      <c r="CE148" s="8" t="n">
        <v>0</v>
      </c>
    </row>
    <row r="149">
      <c r="A149" s="15" t="inlineStr">
        <is>
          <t>2026-01-28</t>
        </is>
      </c>
      <c r="B149" s="11" t="n">
        <v>0</v>
      </c>
      <c r="C149" s="11" t="n">
        <v>0</v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3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  <c r="P149" s="11" t="n">
        <v>0</v>
      </c>
      <c r="Q149" s="11" t="n">
        <v>1.5</v>
      </c>
      <c r="R149" s="11" t="n">
        <v>6</v>
      </c>
      <c r="S149" s="11" t="n">
        <v>0</v>
      </c>
      <c r="T149" s="11" t="n">
        <v>17</v>
      </c>
      <c r="U149" s="11" t="n">
        <v>0</v>
      </c>
      <c r="V149" s="11" t="n">
        <v>0</v>
      </c>
      <c r="W149" s="11" t="n">
        <v>0</v>
      </c>
      <c r="X149" s="11" t="n">
        <v>0</v>
      </c>
      <c r="Y149" s="11" t="n">
        <v>0</v>
      </c>
      <c r="Z149" s="11" t="n">
        <v>0</v>
      </c>
      <c r="AA149" s="11" t="n">
        <v>0</v>
      </c>
      <c r="AB149" s="11" t="n">
        <v>0</v>
      </c>
      <c r="AC149" s="11" t="n">
        <v>0</v>
      </c>
      <c r="AD149" s="11" t="n">
        <v>0</v>
      </c>
      <c r="AE149" s="11" t="n">
        <v>0</v>
      </c>
      <c r="AF149" s="11" t="n">
        <v>6</v>
      </c>
      <c r="AG149" s="11" t="n">
        <v>0</v>
      </c>
      <c r="AH149" s="11" t="n">
        <v>6</v>
      </c>
      <c r="AI149" s="11" t="n">
        <v>0</v>
      </c>
      <c r="AJ149" s="11" t="n">
        <v>0</v>
      </c>
      <c r="AK149" s="11" t="n">
        <v>0</v>
      </c>
      <c r="AL149" s="11" t="n">
        <v>0</v>
      </c>
      <c r="AM149" s="11" t="n">
        <v>0</v>
      </c>
      <c r="AN149" s="11" t="n">
        <v>0</v>
      </c>
      <c r="AO149" s="11" t="n">
        <v>1</v>
      </c>
      <c r="AP149" s="11" t="n">
        <v>0</v>
      </c>
      <c r="AQ149" s="11" t="n">
        <v>0</v>
      </c>
      <c r="AR149" s="11" t="n">
        <v>0</v>
      </c>
      <c r="AS149" s="11" t="n">
        <v>0</v>
      </c>
      <c r="AT149" s="11" t="n">
        <v>0</v>
      </c>
      <c r="AU149" s="11" t="n">
        <v>0</v>
      </c>
      <c r="AV149" s="11" t="n">
        <v>0</v>
      </c>
      <c r="AW149" s="11" t="n">
        <v>0</v>
      </c>
      <c r="AX149" s="11" t="n">
        <v>0</v>
      </c>
      <c r="AY149" s="11" t="n">
        <v>0</v>
      </c>
      <c r="AZ149" s="11" t="n">
        <v>3</v>
      </c>
      <c r="BA149" s="11" t="n">
        <v>6.5</v>
      </c>
      <c r="BB149" s="11" t="n">
        <v>0</v>
      </c>
      <c r="BC149" s="11" t="n">
        <v>0</v>
      </c>
      <c r="BD149" s="11" t="n">
        <v>0</v>
      </c>
      <c r="BE149" s="11" t="n">
        <v>0</v>
      </c>
      <c r="BF149" s="11" t="n">
        <v>0</v>
      </c>
      <c r="BG149" s="11" t="n">
        <v>0</v>
      </c>
      <c r="BH149" s="11" t="n">
        <v>0</v>
      </c>
      <c r="BI149" s="11" t="n">
        <v>0</v>
      </c>
      <c r="BJ149" s="11" t="n">
        <v>0</v>
      </c>
      <c r="BK149" s="11" t="n">
        <v>0</v>
      </c>
      <c r="BL149" s="11" t="n">
        <v>4</v>
      </c>
      <c r="BM149" s="11" t="n">
        <v>0</v>
      </c>
      <c r="BN149" s="11" t="n">
        <v>10</v>
      </c>
      <c r="BO149" s="11" t="n">
        <v>0</v>
      </c>
      <c r="BP149" s="11" t="n">
        <v>0</v>
      </c>
      <c r="BQ149" s="11" t="n">
        <v>0</v>
      </c>
      <c r="BR149" s="11" t="n">
        <v>0</v>
      </c>
      <c r="BS149" s="11" t="n">
        <v>0</v>
      </c>
      <c r="BT149" s="11" t="n">
        <v>0</v>
      </c>
      <c r="BU149" s="11" t="n">
        <v>0</v>
      </c>
      <c r="BV149" s="11" t="n">
        <v>6</v>
      </c>
      <c r="BW149" s="11" t="n">
        <v>5</v>
      </c>
      <c r="BX149" s="11" t="n">
        <v>0</v>
      </c>
      <c r="BY149" s="11" t="n">
        <v>0</v>
      </c>
      <c r="BZ149" s="11" t="n">
        <v>0</v>
      </c>
      <c r="CA149" s="11" t="n">
        <v>0</v>
      </c>
      <c r="CB149" s="11" t="n">
        <v>0</v>
      </c>
      <c r="CC149" s="11" t="n">
        <v>0</v>
      </c>
      <c r="CD149" s="11" t="n">
        <v>0</v>
      </c>
      <c r="CE149" s="11" t="n">
        <v>0</v>
      </c>
    </row>
    <row r="150">
      <c r="A150" s="14" t="inlineStr">
        <is>
          <t>2026-01-29</t>
        </is>
      </c>
      <c r="B150" s="8" t="n">
        <v>0</v>
      </c>
      <c r="C150" s="8" t="n">
        <v>0</v>
      </c>
      <c r="D150" s="8" t="n">
        <v>0</v>
      </c>
      <c r="E150" s="8" t="n">
        <v>0</v>
      </c>
      <c r="F150" s="8" t="n">
        <v>0</v>
      </c>
      <c r="G150" s="8" t="n">
        <v>0</v>
      </c>
      <c r="H150" s="8" t="n">
        <v>0</v>
      </c>
      <c r="I150" s="8" t="n">
        <v>3</v>
      </c>
      <c r="J150" s="8" t="n">
        <v>0</v>
      </c>
      <c r="K150" s="8" t="n">
        <v>0</v>
      </c>
      <c r="L150" s="8" t="n">
        <v>0</v>
      </c>
      <c r="M150" s="8" t="n">
        <v>0</v>
      </c>
      <c r="N150" s="8" t="n">
        <v>0</v>
      </c>
      <c r="O150" s="8" t="n">
        <v>0</v>
      </c>
      <c r="P150" s="8" t="n">
        <v>0</v>
      </c>
      <c r="Q150" s="8" t="n">
        <v>1.5</v>
      </c>
      <c r="R150" s="8" t="n">
        <v>6</v>
      </c>
      <c r="S150" s="8" t="n">
        <v>0</v>
      </c>
      <c r="T150" s="8" t="n">
        <v>17</v>
      </c>
      <c r="U150" s="8" t="n">
        <v>0</v>
      </c>
      <c r="V150" s="8" t="n">
        <v>0</v>
      </c>
      <c r="W150" s="8" t="n">
        <v>0</v>
      </c>
      <c r="X150" s="8" t="n">
        <v>0</v>
      </c>
      <c r="Y150" s="8" t="n">
        <v>0</v>
      </c>
      <c r="Z150" s="8" t="n">
        <v>0</v>
      </c>
      <c r="AA150" s="8" t="n">
        <v>0</v>
      </c>
      <c r="AB150" s="8" t="n">
        <v>0</v>
      </c>
      <c r="AC150" s="8" t="n">
        <v>0</v>
      </c>
      <c r="AD150" s="8" t="n">
        <v>0</v>
      </c>
      <c r="AE150" s="8" t="n">
        <v>0</v>
      </c>
      <c r="AF150" s="8" t="n">
        <v>6</v>
      </c>
      <c r="AG150" s="8" t="n">
        <v>0</v>
      </c>
      <c r="AH150" s="8" t="n">
        <v>6</v>
      </c>
      <c r="AI150" s="8" t="n">
        <v>0</v>
      </c>
      <c r="AJ150" s="8" t="n">
        <v>0</v>
      </c>
      <c r="AK150" s="8" t="n">
        <v>0</v>
      </c>
      <c r="AL150" s="8" t="n">
        <v>0</v>
      </c>
      <c r="AM150" s="8" t="n">
        <v>0</v>
      </c>
      <c r="AN150" s="8" t="n">
        <v>0</v>
      </c>
      <c r="AO150" s="8" t="n">
        <v>1</v>
      </c>
      <c r="AP150" s="8" t="n">
        <v>0</v>
      </c>
      <c r="AQ150" s="8" t="n">
        <v>0</v>
      </c>
      <c r="AR150" s="8" t="n">
        <v>0</v>
      </c>
      <c r="AS150" s="8" t="n">
        <v>0</v>
      </c>
      <c r="AT150" s="8" t="n">
        <v>0</v>
      </c>
      <c r="AU150" s="8" t="n">
        <v>0</v>
      </c>
      <c r="AV150" s="8" t="n">
        <v>0</v>
      </c>
      <c r="AW150" s="8" t="n">
        <v>0</v>
      </c>
      <c r="AX150" s="8" t="n">
        <v>0</v>
      </c>
      <c r="AY150" s="8" t="n">
        <v>0</v>
      </c>
      <c r="AZ150" s="8" t="n">
        <v>3</v>
      </c>
      <c r="BA150" s="8" t="n">
        <v>6.5</v>
      </c>
      <c r="BB150" s="8" t="n">
        <v>0</v>
      </c>
      <c r="BC150" s="8" t="n">
        <v>0</v>
      </c>
      <c r="BD150" s="8" t="n">
        <v>0</v>
      </c>
      <c r="BE150" s="8" t="n">
        <v>0</v>
      </c>
      <c r="BF150" s="8" t="n">
        <v>0</v>
      </c>
      <c r="BG150" s="8" t="n">
        <v>0</v>
      </c>
      <c r="BH150" s="8" t="n">
        <v>0</v>
      </c>
      <c r="BI150" s="8" t="n">
        <v>0</v>
      </c>
      <c r="BJ150" s="8" t="n">
        <v>0</v>
      </c>
      <c r="BK150" s="8" t="n">
        <v>0</v>
      </c>
      <c r="BL150" s="8" t="n">
        <v>4</v>
      </c>
      <c r="BM150" s="8" t="n">
        <v>0</v>
      </c>
      <c r="BN150" s="8" t="n">
        <v>10</v>
      </c>
      <c r="BO150" s="8" t="n">
        <v>0</v>
      </c>
      <c r="BP150" s="8" t="n">
        <v>0</v>
      </c>
      <c r="BQ150" s="8" t="n">
        <v>0</v>
      </c>
      <c r="BR150" s="8" t="n">
        <v>0</v>
      </c>
      <c r="BS150" s="8" t="n">
        <v>0</v>
      </c>
      <c r="BT150" s="8" t="n">
        <v>0</v>
      </c>
      <c r="BU150" s="8" t="n">
        <v>0</v>
      </c>
      <c r="BV150" s="8" t="n">
        <v>6</v>
      </c>
      <c r="BW150" s="8" t="n">
        <v>5</v>
      </c>
      <c r="BX150" s="8" t="n">
        <v>0</v>
      </c>
      <c r="BY150" s="8" t="n">
        <v>0</v>
      </c>
      <c r="BZ150" s="8" t="n">
        <v>0</v>
      </c>
      <c r="CA150" s="8" t="n">
        <v>0</v>
      </c>
      <c r="CB150" s="8" t="n">
        <v>0</v>
      </c>
      <c r="CC150" s="8" t="n">
        <v>0</v>
      </c>
      <c r="CD150" s="8" t="n">
        <v>0</v>
      </c>
      <c r="CE150" s="8" t="n">
        <v>0</v>
      </c>
    </row>
    <row r="151">
      <c r="A151" s="15" t="inlineStr">
        <is>
          <t>2026-01-30</t>
        </is>
      </c>
      <c r="B151" s="11" t="n">
        <v>0</v>
      </c>
      <c r="C151" s="11" t="n">
        <v>0</v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3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  <c r="P151" s="11" t="n">
        <v>0</v>
      </c>
      <c r="Q151" s="11" t="n">
        <v>1.5</v>
      </c>
      <c r="R151" s="11" t="n">
        <v>6</v>
      </c>
      <c r="S151" s="11" t="n">
        <v>0</v>
      </c>
      <c r="T151" s="11" t="n">
        <v>17</v>
      </c>
      <c r="U151" s="11" t="n">
        <v>0</v>
      </c>
      <c r="V151" s="11" t="n">
        <v>0</v>
      </c>
      <c r="W151" s="11" t="n">
        <v>0</v>
      </c>
      <c r="X151" s="11" t="n">
        <v>0</v>
      </c>
      <c r="Y151" s="11" t="n">
        <v>0</v>
      </c>
      <c r="Z151" s="11" t="n">
        <v>0</v>
      </c>
      <c r="AA151" s="11" t="n">
        <v>0</v>
      </c>
      <c r="AB151" s="11" t="n">
        <v>0</v>
      </c>
      <c r="AC151" s="11" t="n">
        <v>0</v>
      </c>
      <c r="AD151" s="11" t="n">
        <v>0</v>
      </c>
      <c r="AE151" s="11" t="n">
        <v>0</v>
      </c>
      <c r="AF151" s="11" t="n">
        <v>6</v>
      </c>
      <c r="AG151" s="11" t="n">
        <v>0</v>
      </c>
      <c r="AH151" s="11" t="n">
        <v>6</v>
      </c>
      <c r="AI151" s="11" t="n">
        <v>0</v>
      </c>
      <c r="AJ151" s="11" t="n">
        <v>0</v>
      </c>
      <c r="AK151" s="11" t="n">
        <v>0</v>
      </c>
      <c r="AL151" s="11" t="n">
        <v>0</v>
      </c>
      <c r="AM151" s="11" t="n">
        <v>0</v>
      </c>
      <c r="AN151" s="11" t="n">
        <v>0</v>
      </c>
      <c r="AO151" s="11" t="n">
        <v>1</v>
      </c>
      <c r="AP151" s="11" t="n">
        <v>0</v>
      </c>
      <c r="AQ151" s="11" t="n">
        <v>0</v>
      </c>
      <c r="AR151" s="11" t="n">
        <v>0</v>
      </c>
      <c r="AS151" s="11" t="n">
        <v>0</v>
      </c>
      <c r="AT151" s="11" t="n">
        <v>0</v>
      </c>
      <c r="AU151" s="11" t="n">
        <v>0</v>
      </c>
      <c r="AV151" s="11" t="n">
        <v>0</v>
      </c>
      <c r="AW151" s="11" t="n">
        <v>0</v>
      </c>
      <c r="AX151" s="11" t="n">
        <v>0</v>
      </c>
      <c r="AY151" s="11" t="n">
        <v>0</v>
      </c>
      <c r="AZ151" s="11" t="n">
        <v>3</v>
      </c>
      <c r="BA151" s="11" t="n">
        <v>6.5</v>
      </c>
      <c r="BB151" s="11" t="n">
        <v>0</v>
      </c>
      <c r="BC151" s="11" t="n">
        <v>0</v>
      </c>
      <c r="BD151" s="11" t="n">
        <v>0</v>
      </c>
      <c r="BE151" s="11" t="n">
        <v>0</v>
      </c>
      <c r="BF151" s="11" t="n">
        <v>0</v>
      </c>
      <c r="BG151" s="11" t="n">
        <v>0</v>
      </c>
      <c r="BH151" s="11" t="n">
        <v>0</v>
      </c>
      <c r="BI151" s="11" t="n">
        <v>0</v>
      </c>
      <c r="BJ151" s="11" t="n">
        <v>0</v>
      </c>
      <c r="BK151" s="11" t="n">
        <v>0</v>
      </c>
      <c r="BL151" s="11" t="n">
        <v>4</v>
      </c>
      <c r="BM151" s="11" t="n">
        <v>0</v>
      </c>
      <c r="BN151" s="11" t="n">
        <v>10</v>
      </c>
      <c r="BO151" s="11" t="n">
        <v>0</v>
      </c>
      <c r="BP151" s="11" t="n">
        <v>0</v>
      </c>
      <c r="BQ151" s="11" t="n">
        <v>0</v>
      </c>
      <c r="BR151" s="11" t="n">
        <v>0</v>
      </c>
      <c r="BS151" s="11" t="n">
        <v>0</v>
      </c>
      <c r="BT151" s="11" t="n">
        <v>0</v>
      </c>
      <c r="BU151" s="11" t="n">
        <v>0</v>
      </c>
      <c r="BV151" s="11" t="n">
        <v>6</v>
      </c>
      <c r="BW151" s="11" t="n">
        <v>5</v>
      </c>
      <c r="BX151" s="11" t="n">
        <v>0</v>
      </c>
      <c r="BY151" s="11" t="n">
        <v>0</v>
      </c>
      <c r="BZ151" s="11" t="n">
        <v>0</v>
      </c>
      <c r="CA151" s="11" t="n">
        <v>0</v>
      </c>
      <c r="CB151" s="11" t="n">
        <v>0</v>
      </c>
      <c r="CC151" s="11" t="n">
        <v>0</v>
      </c>
      <c r="CD151" s="11" t="n">
        <v>0</v>
      </c>
      <c r="CE151" s="11" t="n">
        <v>0</v>
      </c>
    </row>
    <row r="152">
      <c r="A152" s="14" t="inlineStr">
        <is>
          <t>2026-02-02</t>
        </is>
      </c>
      <c r="B152" s="8" t="n">
        <v>0</v>
      </c>
      <c r="C152" s="8" t="n">
        <v>0</v>
      </c>
      <c r="D152" s="8" t="n">
        <v>0</v>
      </c>
      <c r="E152" s="8" t="n">
        <v>0</v>
      </c>
      <c r="F152" s="8" t="n">
        <v>0</v>
      </c>
      <c r="G152" s="8" t="n">
        <v>0</v>
      </c>
      <c r="H152" s="8" t="n">
        <v>0</v>
      </c>
      <c r="I152" s="8" t="n">
        <v>3</v>
      </c>
      <c r="J152" s="8" t="n">
        <v>0</v>
      </c>
      <c r="K152" s="8" t="n">
        <v>0</v>
      </c>
      <c r="L152" s="8" t="n">
        <v>0</v>
      </c>
      <c r="M152" s="8" t="n">
        <v>0</v>
      </c>
      <c r="N152" s="8" t="n">
        <v>0</v>
      </c>
      <c r="O152" s="8" t="n">
        <v>0</v>
      </c>
      <c r="P152" s="8" t="n">
        <v>0</v>
      </c>
      <c r="Q152" s="8" t="n">
        <v>1.5</v>
      </c>
      <c r="R152" s="8" t="n">
        <v>6</v>
      </c>
      <c r="S152" s="8" t="n">
        <v>0</v>
      </c>
      <c r="T152" s="8" t="n">
        <v>17</v>
      </c>
      <c r="U152" s="8" t="n">
        <v>0</v>
      </c>
      <c r="V152" s="8" t="n">
        <v>0</v>
      </c>
      <c r="W152" s="8" t="n">
        <v>0</v>
      </c>
      <c r="X152" s="8" t="n">
        <v>0</v>
      </c>
      <c r="Y152" s="8" t="n">
        <v>0</v>
      </c>
      <c r="Z152" s="8" t="n">
        <v>0</v>
      </c>
      <c r="AA152" s="8" t="n">
        <v>0</v>
      </c>
      <c r="AB152" s="8" t="n">
        <v>0</v>
      </c>
      <c r="AC152" s="8" t="n">
        <v>0</v>
      </c>
      <c r="AD152" s="8" t="n">
        <v>0</v>
      </c>
      <c r="AE152" s="8" t="n">
        <v>0</v>
      </c>
      <c r="AF152" s="8" t="n">
        <v>6</v>
      </c>
      <c r="AG152" s="8" t="n">
        <v>0</v>
      </c>
      <c r="AH152" s="8" t="n">
        <v>6</v>
      </c>
      <c r="AI152" s="8" t="n">
        <v>0</v>
      </c>
      <c r="AJ152" s="8" t="n">
        <v>0</v>
      </c>
      <c r="AK152" s="8" t="n">
        <v>0</v>
      </c>
      <c r="AL152" s="8" t="n">
        <v>0</v>
      </c>
      <c r="AM152" s="8" t="n">
        <v>0</v>
      </c>
      <c r="AN152" s="8" t="n">
        <v>0</v>
      </c>
      <c r="AO152" s="8" t="n">
        <v>1</v>
      </c>
      <c r="AP152" s="8" t="n">
        <v>0</v>
      </c>
      <c r="AQ152" s="8" t="n">
        <v>0</v>
      </c>
      <c r="AR152" s="8" t="n">
        <v>0</v>
      </c>
      <c r="AS152" s="8" t="n">
        <v>0</v>
      </c>
      <c r="AT152" s="8" t="n">
        <v>0</v>
      </c>
      <c r="AU152" s="8" t="n">
        <v>0</v>
      </c>
      <c r="AV152" s="8" t="n">
        <v>0</v>
      </c>
      <c r="AW152" s="8" t="n">
        <v>0</v>
      </c>
      <c r="AX152" s="8" t="n">
        <v>0</v>
      </c>
      <c r="AY152" s="8" t="n">
        <v>0</v>
      </c>
      <c r="AZ152" s="8" t="n">
        <v>0</v>
      </c>
      <c r="BA152" s="8" t="n">
        <v>6.5</v>
      </c>
      <c r="BB152" s="8" t="n">
        <v>0</v>
      </c>
      <c r="BC152" s="8" t="n">
        <v>0</v>
      </c>
      <c r="BD152" s="8" t="n">
        <v>0</v>
      </c>
      <c r="BE152" s="8" t="n">
        <v>0</v>
      </c>
      <c r="BF152" s="8" t="n">
        <v>0</v>
      </c>
      <c r="BG152" s="8" t="n">
        <v>0</v>
      </c>
      <c r="BH152" s="8" t="n">
        <v>0</v>
      </c>
      <c r="BI152" s="8" t="n">
        <v>0</v>
      </c>
      <c r="BJ152" s="8" t="n">
        <v>0</v>
      </c>
      <c r="BK152" s="8" t="n">
        <v>0</v>
      </c>
      <c r="BL152" s="8" t="n">
        <v>4</v>
      </c>
      <c r="BM152" s="8" t="n">
        <v>0</v>
      </c>
      <c r="BN152" s="8" t="n">
        <v>10</v>
      </c>
      <c r="BO152" s="8" t="n">
        <v>0</v>
      </c>
      <c r="BP152" s="8" t="n">
        <v>0</v>
      </c>
      <c r="BQ152" s="8" t="n">
        <v>0</v>
      </c>
      <c r="BR152" s="8" t="n">
        <v>0</v>
      </c>
      <c r="BS152" s="8" t="n">
        <v>0</v>
      </c>
      <c r="BT152" s="8" t="n">
        <v>0</v>
      </c>
      <c r="BU152" s="8" t="n">
        <v>0</v>
      </c>
      <c r="BV152" s="8" t="n">
        <v>6</v>
      </c>
      <c r="BW152" s="8" t="n">
        <v>5</v>
      </c>
      <c r="BX152" s="8" t="n">
        <v>0</v>
      </c>
      <c r="BY152" s="8" t="n">
        <v>0</v>
      </c>
      <c r="BZ152" s="8" t="n">
        <v>0</v>
      </c>
      <c r="CA152" s="8" t="n">
        <v>0</v>
      </c>
      <c r="CB152" s="8" t="n">
        <v>0</v>
      </c>
      <c r="CC152" s="8" t="n">
        <v>0</v>
      </c>
      <c r="CD152" s="8" t="n">
        <v>0</v>
      </c>
      <c r="CE152" s="8" t="n">
        <v>0</v>
      </c>
    </row>
    <row r="153">
      <c r="A153" s="15" t="inlineStr">
        <is>
          <t>2026-02-03</t>
        </is>
      </c>
      <c r="B153" s="11" t="n">
        <v>0</v>
      </c>
      <c r="C153" s="11" t="n">
        <v>0</v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3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  <c r="P153" s="11" t="n">
        <v>0</v>
      </c>
      <c r="Q153" s="11" t="n">
        <v>1.5</v>
      </c>
      <c r="R153" s="11" t="n">
        <v>6</v>
      </c>
      <c r="S153" s="11" t="n">
        <v>0</v>
      </c>
      <c r="T153" s="11" t="n">
        <v>17</v>
      </c>
      <c r="U153" s="11" t="n">
        <v>0</v>
      </c>
      <c r="V153" s="11" t="n">
        <v>0</v>
      </c>
      <c r="W153" s="11" t="n">
        <v>0</v>
      </c>
      <c r="X153" s="11" t="n">
        <v>0</v>
      </c>
      <c r="Y153" s="11" t="n">
        <v>0</v>
      </c>
      <c r="Z153" s="11" t="n">
        <v>0</v>
      </c>
      <c r="AA153" s="11" t="n">
        <v>0</v>
      </c>
      <c r="AB153" s="11" t="n">
        <v>0</v>
      </c>
      <c r="AC153" s="11" t="n">
        <v>0</v>
      </c>
      <c r="AD153" s="11" t="n">
        <v>0</v>
      </c>
      <c r="AE153" s="11" t="n">
        <v>0</v>
      </c>
      <c r="AF153" s="11" t="n">
        <v>6</v>
      </c>
      <c r="AG153" s="11" t="n">
        <v>0</v>
      </c>
      <c r="AH153" s="11" t="n">
        <v>6</v>
      </c>
      <c r="AI153" s="11" t="n">
        <v>0</v>
      </c>
      <c r="AJ153" s="11" t="n">
        <v>0</v>
      </c>
      <c r="AK153" s="11" t="n">
        <v>0</v>
      </c>
      <c r="AL153" s="11" t="n">
        <v>0</v>
      </c>
      <c r="AM153" s="11" t="n">
        <v>0</v>
      </c>
      <c r="AN153" s="11" t="n">
        <v>0</v>
      </c>
      <c r="AO153" s="11" t="n">
        <v>1</v>
      </c>
      <c r="AP153" s="11" t="n">
        <v>0</v>
      </c>
      <c r="AQ153" s="11" t="n">
        <v>0</v>
      </c>
      <c r="AR153" s="11" t="n">
        <v>0</v>
      </c>
      <c r="AS153" s="11" t="n">
        <v>0</v>
      </c>
      <c r="AT153" s="11" t="n">
        <v>0</v>
      </c>
      <c r="AU153" s="11" t="n">
        <v>0</v>
      </c>
      <c r="AV153" s="11" t="n">
        <v>0</v>
      </c>
      <c r="AW153" s="11" t="n">
        <v>0</v>
      </c>
      <c r="AX153" s="11" t="n">
        <v>0</v>
      </c>
      <c r="AY153" s="11" t="n">
        <v>0</v>
      </c>
      <c r="AZ153" s="11" t="n">
        <v>0</v>
      </c>
      <c r="BA153" s="11" t="n">
        <v>6.5</v>
      </c>
      <c r="BB153" s="11" t="n">
        <v>0</v>
      </c>
      <c r="BC153" s="11" t="n">
        <v>0</v>
      </c>
      <c r="BD153" s="11" t="n">
        <v>0</v>
      </c>
      <c r="BE153" s="11" t="n">
        <v>0</v>
      </c>
      <c r="BF153" s="11" t="n">
        <v>0</v>
      </c>
      <c r="BG153" s="11" t="n">
        <v>0</v>
      </c>
      <c r="BH153" s="11" t="n">
        <v>0</v>
      </c>
      <c r="BI153" s="11" t="n">
        <v>0</v>
      </c>
      <c r="BJ153" s="11" t="n">
        <v>0</v>
      </c>
      <c r="BK153" s="11" t="n">
        <v>0</v>
      </c>
      <c r="BL153" s="11" t="n">
        <v>4</v>
      </c>
      <c r="BM153" s="11" t="n">
        <v>0</v>
      </c>
      <c r="BN153" s="11" t="n">
        <v>10</v>
      </c>
      <c r="BO153" s="11" t="n">
        <v>0</v>
      </c>
      <c r="BP153" s="11" t="n">
        <v>0</v>
      </c>
      <c r="BQ153" s="11" t="n">
        <v>0</v>
      </c>
      <c r="BR153" s="11" t="n">
        <v>0</v>
      </c>
      <c r="BS153" s="11" t="n">
        <v>0</v>
      </c>
      <c r="BT153" s="11" t="n">
        <v>0</v>
      </c>
      <c r="BU153" s="11" t="n">
        <v>0</v>
      </c>
      <c r="BV153" s="11" t="n">
        <v>0</v>
      </c>
      <c r="BW153" s="11" t="n">
        <v>5</v>
      </c>
      <c r="BX153" s="11" t="n">
        <v>0</v>
      </c>
      <c r="BY153" s="11" t="n">
        <v>0</v>
      </c>
      <c r="BZ153" s="11" t="n">
        <v>0</v>
      </c>
      <c r="CA153" s="11" t="n">
        <v>0</v>
      </c>
      <c r="CB153" s="11" t="n">
        <v>0</v>
      </c>
      <c r="CC153" s="11" t="n">
        <v>0</v>
      </c>
      <c r="CD153" s="11" t="n">
        <v>0</v>
      </c>
      <c r="CE153" s="11" t="n">
        <v>0</v>
      </c>
    </row>
    <row r="154">
      <c r="A154" s="14" t="inlineStr">
        <is>
          <t>2026-02-04</t>
        </is>
      </c>
      <c r="B154" s="8" t="n">
        <v>0</v>
      </c>
      <c r="C154" s="8" t="n">
        <v>0</v>
      </c>
      <c r="D154" s="8" t="n">
        <v>0</v>
      </c>
      <c r="E154" s="8" t="n">
        <v>0</v>
      </c>
      <c r="F154" s="8" t="n">
        <v>0</v>
      </c>
      <c r="G154" s="8" t="n">
        <v>0</v>
      </c>
      <c r="H154" s="8" t="n">
        <v>0</v>
      </c>
      <c r="I154" s="8" t="n">
        <v>3</v>
      </c>
      <c r="J154" s="8" t="n">
        <v>0</v>
      </c>
      <c r="K154" s="8" t="n">
        <v>0</v>
      </c>
      <c r="L154" s="8" t="n">
        <v>0</v>
      </c>
      <c r="M154" s="8" t="n">
        <v>0</v>
      </c>
      <c r="N154" s="8" t="n">
        <v>0</v>
      </c>
      <c r="O154" s="8" t="n">
        <v>0</v>
      </c>
      <c r="P154" s="8" t="n">
        <v>0</v>
      </c>
      <c r="Q154" s="8" t="n">
        <v>1.5</v>
      </c>
      <c r="R154" s="8" t="n">
        <v>3</v>
      </c>
      <c r="S154" s="8" t="n">
        <v>0</v>
      </c>
      <c r="T154" s="8" t="n">
        <v>17</v>
      </c>
      <c r="U154" s="8" t="n">
        <v>0</v>
      </c>
      <c r="V154" s="8" t="n">
        <v>0</v>
      </c>
      <c r="W154" s="8" t="n">
        <v>0</v>
      </c>
      <c r="X154" s="8" t="n">
        <v>0</v>
      </c>
      <c r="Y154" s="8" t="n">
        <v>0</v>
      </c>
      <c r="Z154" s="8" t="n">
        <v>0</v>
      </c>
      <c r="AA154" s="8" t="n">
        <v>0</v>
      </c>
      <c r="AB154" s="8" t="n">
        <v>0</v>
      </c>
      <c r="AC154" s="8" t="n">
        <v>0</v>
      </c>
      <c r="AD154" s="8" t="n">
        <v>0</v>
      </c>
      <c r="AE154" s="8" t="n">
        <v>0</v>
      </c>
      <c r="AF154" s="8" t="n">
        <v>6</v>
      </c>
      <c r="AG154" s="8" t="n">
        <v>0</v>
      </c>
      <c r="AH154" s="8" t="n">
        <v>6</v>
      </c>
      <c r="AI154" s="8" t="n">
        <v>0</v>
      </c>
      <c r="AJ154" s="8" t="n">
        <v>0</v>
      </c>
      <c r="AK154" s="8" t="n">
        <v>0</v>
      </c>
      <c r="AL154" s="8" t="n">
        <v>0</v>
      </c>
      <c r="AM154" s="8" t="n">
        <v>0</v>
      </c>
      <c r="AN154" s="8" t="n">
        <v>0</v>
      </c>
      <c r="AO154" s="8" t="n">
        <v>0</v>
      </c>
      <c r="AP154" s="8" t="n">
        <v>0</v>
      </c>
      <c r="AQ154" s="8" t="n">
        <v>0</v>
      </c>
      <c r="AR154" s="8" t="n">
        <v>0</v>
      </c>
      <c r="AS154" s="8" t="n">
        <v>0</v>
      </c>
      <c r="AT154" s="8" t="n">
        <v>0</v>
      </c>
      <c r="AU154" s="8" t="n">
        <v>0</v>
      </c>
      <c r="AV154" s="8" t="n">
        <v>0</v>
      </c>
      <c r="AW154" s="8" t="n">
        <v>0</v>
      </c>
      <c r="AX154" s="8" t="n">
        <v>0</v>
      </c>
      <c r="AY154" s="8" t="n">
        <v>0</v>
      </c>
      <c r="AZ154" s="8" t="n">
        <v>0</v>
      </c>
      <c r="BA154" s="8" t="n">
        <v>6.5</v>
      </c>
      <c r="BB154" s="8" t="n">
        <v>0</v>
      </c>
      <c r="BC154" s="8" t="n">
        <v>0</v>
      </c>
      <c r="BD154" s="8" t="n">
        <v>0</v>
      </c>
      <c r="BE154" s="8" t="n">
        <v>0</v>
      </c>
      <c r="BF154" s="8" t="n">
        <v>0</v>
      </c>
      <c r="BG154" s="8" t="n">
        <v>0</v>
      </c>
      <c r="BH154" s="8" t="n">
        <v>0</v>
      </c>
      <c r="BI154" s="8" t="n">
        <v>0</v>
      </c>
      <c r="BJ154" s="8" t="n">
        <v>0</v>
      </c>
      <c r="BK154" s="8" t="n">
        <v>0</v>
      </c>
      <c r="BL154" s="8" t="n">
        <v>4</v>
      </c>
      <c r="BM154" s="8" t="n">
        <v>0</v>
      </c>
      <c r="BN154" s="8" t="n">
        <v>10</v>
      </c>
      <c r="BO154" s="8" t="n">
        <v>0</v>
      </c>
      <c r="BP154" s="8" t="n">
        <v>0</v>
      </c>
      <c r="BQ154" s="8" t="n">
        <v>0</v>
      </c>
      <c r="BR154" s="8" t="n">
        <v>0</v>
      </c>
      <c r="BS154" s="8" t="n">
        <v>0</v>
      </c>
      <c r="BT154" s="8" t="n">
        <v>0</v>
      </c>
      <c r="BU154" s="8" t="n">
        <v>0</v>
      </c>
      <c r="BV154" s="8" t="n">
        <v>0</v>
      </c>
      <c r="BW154" s="8" t="n">
        <v>0</v>
      </c>
      <c r="BX154" s="8" t="n">
        <v>0</v>
      </c>
      <c r="BY154" s="8" t="n">
        <v>0</v>
      </c>
      <c r="BZ154" s="8" t="n">
        <v>0</v>
      </c>
      <c r="CA154" s="8" t="n">
        <v>0</v>
      </c>
      <c r="CB154" s="8" t="n">
        <v>0</v>
      </c>
      <c r="CC154" s="8" t="n">
        <v>0</v>
      </c>
      <c r="CD154" s="8" t="n">
        <v>0</v>
      </c>
      <c r="CE154" s="8" t="n">
        <v>0</v>
      </c>
    </row>
    <row r="155">
      <c r="A155" s="15" t="inlineStr">
        <is>
          <t>2026-02-05</t>
        </is>
      </c>
      <c r="B155" s="11" t="n">
        <v>0</v>
      </c>
      <c r="C155" s="11" t="n">
        <v>0</v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3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  <c r="P155" s="11" t="n">
        <v>0</v>
      </c>
      <c r="Q155" s="11" t="n">
        <v>1.5</v>
      </c>
      <c r="R155" s="11" t="n">
        <v>3</v>
      </c>
      <c r="S155" s="11" t="n">
        <v>0</v>
      </c>
      <c r="T155" s="11" t="n">
        <v>17</v>
      </c>
      <c r="U155" s="11" t="n">
        <v>0</v>
      </c>
      <c r="V155" s="11" t="n">
        <v>0</v>
      </c>
      <c r="W155" s="11" t="n">
        <v>0</v>
      </c>
      <c r="X155" s="11" t="n">
        <v>0</v>
      </c>
      <c r="Y155" s="11" t="n">
        <v>0</v>
      </c>
      <c r="Z155" s="11" t="n">
        <v>0</v>
      </c>
      <c r="AA155" s="11" t="n">
        <v>0</v>
      </c>
      <c r="AB155" s="11" t="n">
        <v>0</v>
      </c>
      <c r="AC155" s="11" t="n">
        <v>0</v>
      </c>
      <c r="AD155" s="11" t="n">
        <v>0</v>
      </c>
      <c r="AE155" s="11" t="n">
        <v>0</v>
      </c>
      <c r="AF155" s="11" t="n">
        <v>6</v>
      </c>
      <c r="AG155" s="11" t="n">
        <v>0</v>
      </c>
      <c r="AH155" s="11" t="n">
        <v>6</v>
      </c>
      <c r="AI155" s="11" t="n">
        <v>0</v>
      </c>
      <c r="AJ155" s="11" t="n">
        <v>0</v>
      </c>
      <c r="AK155" s="11" t="n">
        <v>0</v>
      </c>
      <c r="AL155" s="11" t="n">
        <v>0</v>
      </c>
      <c r="AM155" s="11" t="n">
        <v>0</v>
      </c>
      <c r="AN155" s="11" t="n">
        <v>0</v>
      </c>
      <c r="AO155" s="11" t="n">
        <v>0</v>
      </c>
      <c r="AP155" s="11" t="n">
        <v>0</v>
      </c>
      <c r="AQ155" s="11" t="n">
        <v>0</v>
      </c>
      <c r="AR155" s="11" t="n">
        <v>0</v>
      </c>
      <c r="AS155" s="11" t="n">
        <v>0</v>
      </c>
      <c r="AT155" s="11" t="n">
        <v>0</v>
      </c>
      <c r="AU155" s="11" t="n">
        <v>0</v>
      </c>
      <c r="AV155" s="11" t="n">
        <v>0</v>
      </c>
      <c r="AW155" s="11" t="n">
        <v>0</v>
      </c>
      <c r="AX155" s="11" t="n">
        <v>0</v>
      </c>
      <c r="AY155" s="11" t="n">
        <v>0</v>
      </c>
      <c r="AZ155" s="11" t="n">
        <v>0</v>
      </c>
      <c r="BA155" s="11" t="n">
        <v>6.5</v>
      </c>
      <c r="BB155" s="11" t="n">
        <v>0</v>
      </c>
      <c r="BC155" s="11" t="n">
        <v>0</v>
      </c>
      <c r="BD155" s="11" t="n">
        <v>0</v>
      </c>
      <c r="BE155" s="11" t="n">
        <v>0</v>
      </c>
      <c r="BF155" s="11" t="n">
        <v>0</v>
      </c>
      <c r="BG155" s="11" t="n">
        <v>0</v>
      </c>
      <c r="BH155" s="11" t="n">
        <v>0</v>
      </c>
      <c r="BI155" s="11" t="n">
        <v>0</v>
      </c>
      <c r="BJ155" s="11" t="n">
        <v>0</v>
      </c>
      <c r="BK155" s="11" t="n">
        <v>0</v>
      </c>
      <c r="BL155" s="11" t="n">
        <v>4</v>
      </c>
      <c r="BM155" s="11" t="n">
        <v>0</v>
      </c>
      <c r="BN155" s="11" t="n">
        <v>10</v>
      </c>
      <c r="BO155" s="11" t="n">
        <v>0</v>
      </c>
      <c r="BP155" s="11" t="n">
        <v>0</v>
      </c>
      <c r="BQ155" s="11" t="n">
        <v>0</v>
      </c>
      <c r="BR155" s="11" t="n">
        <v>0</v>
      </c>
      <c r="BS155" s="11" t="n">
        <v>0</v>
      </c>
      <c r="BT155" s="11" t="n">
        <v>0</v>
      </c>
      <c r="BU155" s="11" t="n">
        <v>0</v>
      </c>
      <c r="BV155" s="11" t="n">
        <v>0</v>
      </c>
      <c r="BW155" s="11" t="n">
        <v>0</v>
      </c>
      <c r="BX155" s="11" t="n">
        <v>0</v>
      </c>
      <c r="BY155" s="11" t="n">
        <v>0</v>
      </c>
      <c r="BZ155" s="11" t="n">
        <v>0</v>
      </c>
      <c r="CA155" s="11" t="n">
        <v>0</v>
      </c>
      <c r="CB155" s="11" t="n">
        <v>0</v>
      </c>
      <c r="CC155" s="11" t="n">
        <v>0</v>
      </c>
      <c r="CD155" s="11" t="n">
        <v>0</v>
      </c>
      <c r="CE155" s="11" t="n">
        <v>0</v>
      </c>
    </row>
    <row r="156">
      <c r="A156" s="14" t="inlineStr">
        <is>
          <t>2026-02-06</t>
        </is>
      </c>
      <c r="B156" s="8" t="n">
        <v>0</v>
      </c>
      <c r="C156" s="8" t="n">
        <v>0</v>
      </c>
      <c r="D156" s="8" t="n">
        <v>0</v>
      </c>
      <c r="E156" s="8" t="n">
        <v>0</v>
      </c>
      <c r="F156" s="8" t="n">
        <v>0</v>
      </c>
      <c r="G156" s="8" t="n">
        <v>0</v>
      </c>
      <c r="H156" s="8" t="n">
        <v>0</v>
      </c>
      <c r="I156" s="8" t="n">
        <v>4</v>
      </c>
      <c r="J156" s="8" t="n">
        <v>0</v>
      </c>
      <c r="K156" s="8" t="n">
        <v>0</v>
      </c>
      <c r="L156" s="8" t="n">
        <v>0</v>
      </c>
      <c r="M156" s="8" t="n">
        <v>0</v>
      </c>
      <c r="N156" s="8" t="n">
        <v>0</v>
      </c>
      <c r="O156" s="8" t="n">
        <v>0</v>
      </c>
      <c r="P156" s="8" t="n">
        <v>0</v>
      </c>
      <c r="Q156" s="8" t="n">
        <v>1.5</v>
      </c>
      <c r="R156" s="8" t="n">
        <v>3</v>
      </c>
      <c r="S156" s="8" t="n">
        <v>0</v>
      </c>
      <c r="T156" s="8" t="n">
        <v>17</v>
      </c>
      <c r="U156" s="8" t="n">
        <v>0</v>
      </c>
      <c r="V156" s="8" t="n">
        <v>0</v>
      </c>
      <c r="W156" s="8" t="n">
        <v>0</v>
      </c>
      <c r="X156" s="8" t="n">
        <v>0</v>
      </c>
      <c r="Y156" s="8" t="n">
        <v>0</v>
      </c>
      <c r="Z156" s="8" t="n">
        <v>0</v>
      </c>
      <c r="AA156" s="8" t="n">
        <v>0</v>
      </c>
      <c r="AB156" s="8" t="n">
        <v>0</v>
      </c>
      <c r="AC156" s="8" t="n">
        <v>0</v>
      </c>
      <c r="AD156" s="8" t="n">
        <v>0</v>
      </c>
      <c r="AE156" s="8" t="n">
        <v>0</v>
      </c>
      <c r="AF156" s="8" t="n">
        <v>6</v>
      </c>
      <c r="AG156" s="8" t="n">
        <v>0</v>
      </c>
      <c r="AH156" s="8" t="n">
        <v>6</v>
      </c>
      <c r="AI156" s="8" t="n">
        <v>0</v>
      </c>
      <c r="AJ156" s="8" t="n">
        <v>0</v>
      </c>
      <c r="AK156" s="8" t="n">
        <v>0</v>
      </c>
      <c r="AL156" s="8" t="n">
        <v>0</v>
      </c>
      <c r="AM156" s="8" t="n">
        <v>0</v>
      </c>
      <c r="AN156" s="8" t="n">
        <v>0</v>
      </c>
      <c r="AO156" s="8" t="n">
        <v>0</v>
      </c>
      <c r="AP156" s="8" t="n">
        <v>0</v>
      </c>
      <c r="AQ156" s="8" t="n">
        <v>0</v>
      </c>
      <c r="AR156" s="8" t="n">
        <v>0</v>
      </c>
      <c r="AS156" s="8" t="n">
        <v>0</v>
      </c>
      <c r="AT156" s="8" t="n">
        <v>0</v>
      </c>
      <c r="AU156" s="8" t="n">
        <v>0</v>
      </c>
      <c r="AV156" s="8" t="n">
        <v>0</v>
      </c>
      <c r="AW156" s="8" t="n">
        <v>0</v>
      </c>
      <c r="AX156" s="8" t="n">
        <v>0</v>
      </c>
      <c r="AY156" s="8" t="n">
        <v>0</v>
      </c>
      <c r="AZ156" s="8" t="n">
        <v>0</v>
      </c>
      <c r="BA156" s="8" t="n">
        <v>6.5</v>
      </c>
      <c r="BB156" s="8" t="n">
        <v>0</v>
      </c>
      <c r="BC156" s="8" t="n">
        <v>0</v>
      </c>
      <c r="BD156" s="8" t="n">
        <v>0</v>
      </c>
      <c r="BE156" s="8" t="n">
        <v>0</v>
      </c>
      <c r="BF156" s="8" t="n">
        <v>0</v>
      </c>
      <c r="BG156" s="8" t="n">
        <v>0</v>
      </c>
      <c r="BH156" s="8" t="n">
        <v>0</v>
      </c>
      <c r="BI156" s="8" t="n">
        <v>0</v>
      </c>
      <c r="BJ156" s="8" t="n">
        <v>0</v>
      </c>
      <c r="BK156" s="8" t="n">
        <v>0</v>
      </c>
      <c r="BL156" s="8" t="n">
        <v>4</v>
      </c>
      <c r="BM156" s="8" t="n">
        <v>0</v>
      </c>
      <c r="BN156" s="8" t="n">
        <v>10</v>
      </c>
      <c r="BO156" s="8" t="n">
        <v>0</v>
      </c>
      <c r="BP156" s="8" t="n">
        <v>0</v>
      </c>
      <c r="BQ156" s="8" t="n">
        <v>0</v>
      </c>
      <c r="BR156" s="8" t="n">
        <v>0</v>
      </c>
      <c r="BS156" s="8" t="n">
        <v>0</v>
      </c>
      <c r="BT156" s="8" t="n">
        <v>0</v>
      </c>
      <c r="BU156" s="8" t="n">
        <v>0</v>
      </c>
      <c r="BV156" s="8" t="n">
        <v>0</v>
      </c>
      <c r="BW156" s="8" t="n">
        <v>0</v>
      </c>
      <c r="BX156" s="8" t="n">
        <v>0</v>
      </c>
      <c r="BY156" s="8" t="n">
        <v>0</v>
      </c>
      <c r="BZ156" s="8" t="n">
        <v>0</v>
      </c>
      <c r="CA156" s="8" t="n">
        <v>0</v>
      </c>
      <c r="CB156" s="8" t="n">
        <v>0</v>
      </c>
      <c r="CC156" s="8" t="n">
        <v>0</v>
      </c>
      <c r="CD156" s="8" t="n">
        <v>0</v>
      </c>
      <c r="CE156" s="8" t="n">
        <v>0</v>
      </c>
    </row>
    <row r="157">
      <c r="A157" s="15" t="inlineStr">
        <is>
          <t>2026-02-09</t>
        </is>
      </c>
      <c r="B157" s="11" t="n">
        <v>0</v>
      </c>
      <c r="C157" s="11" t="n">
        <v>0</v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4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  <c r="P157" s="11" t="n">
        <v>0</v>
      </c>
      <c r="Q157" s="11" t="n">
        <v>1.5</v>
      </c>
      <c r="R157" s="11" t="n">
        <v>3</v>
      </c>
      <c r="S157" s="11" t="n">
        <v>0</v>
      </c>
      <c r="T157" s="11" t="n">
        <v>17</v>
      </c>
      <c r="U157" s="11" t="n">
        <v>0</v>
      </c>
      <c r="V157" s="11" t="n">
        <v>0</v>
      </c>
      <c r="W157" s="11" t="n">
        <v>0</v>
      </c>
      <c r="X157" s="11" t="n">
        <v>0</v>
      </c>
      <c r="Y157" s="11" t="n">
        <v>0</v>
      </c>
      <c r="Z157" s="11" t="n">
        <v>0</v>
      </c>
      <c r="AA157" s="11" t="n">
        <v>0</v>
      </c>
      <c r="AB157" s="11" t="n">
        <v>0</v>
      </c>
      <c r="AC157" s="11" t="n">
        <v>0</v>
      </c>
      <c r="AD157" s="11" t="n">
        <v>0</v>
      </c>
      <c r="AE157" s="11" t="n">
        <v>0</v>
      </c>
      <c r="AF157" s="11" t="n">
        <v>6</v>
      </c>
      <c r="AG157" s="11" t="n">
        <v>0</v>
      </c>
      <c r="AH157" s="11" t="n">
        <v>8</v>
      </c>
      <c r="AI157" s="11" t="n">
        <v>0</v>
      </c>
      <c r="AJ157" s="11" t="n">
        <v>0</v>
      </c>
      <c r="AK157" s="11" t="n">
        <v>0</v>
      </c>
      <c r="AL157" s="11" t="n">
        <v>0</v>
      </c>
      <c r="AM157" s="11" t="n">
        <v>0</v>
      </c>
      <c r="AN157" s="11" t="n">
        <v>0</v>
      </c>
      <c r="AO157" s="11" t="n">
        <v>0</v>
      </c>
      <c r="AP157" s="11" t="n">
        <v>0</v>
      </c>
      <c r="AQ157" s="11" t="n">
        <v>0</v>
      </c>
      <c r="AR157" s="11" t="n">
        <v>0</v>
      </c>
      <c r="AS157" s="11" t="n">
        <v>0</v>
      </c>
      <c r="AT157" s="11" t="n">
        <v>0</v>
      </c>
      <c r="AU157" s="11" t="n">
        <v>0</v>
      </c>
      <c r="AV157" s="11" t="n">
        <v>0</v>
      </c>
      <c r="AW157" s="11" t="n">
        <v>0</v>
      </c>
      <c r="AX157" s="11" t="n">
        <v>0</v>
      </c>
      <c r="AY157" s="11" t="n">
        <v>0</v>
      </c>
      <c r="AZ157" s="11" t="n">
        <v>0</v>
      </c>
      <c r="BA157" s="11" t="n">
        <v>6.5</v>
      </c>
      <c r="BB157" s="11" t="n">
        <v>0</v>
      </c>
      <c r="BC157" s="11" t="n">
        <v>0</v>
      </c>
      <c r="BD157" s="11" t="n">
        <v>0</v>
      </c>
      <c r="BE157" s="11" t="n">
        <v>0</v>
      </c>
      <c r="BF157" s="11" t="n">
        <v>0</v>
      </c>
      <c r="BG157" s="11" t="n">
        <v>0</v>
      </c>
      <c r="BH157" s="11" t="n">
        <v>0</v>
      </c>
      <c r="BI157" s="11" t="n">
        <v>0</v>
      </c>
      <c r="BJ157" s="11" t="n">
        <v>0</v>
      </c>
      <c r="BK157" s="11" t="n">
        <v>0</v>
      </c>
      <c r="BL157" s="11" t="n">
        <v>4</v>
      </c>
      <c r="BM157" s="11" t="n">
        <v>0</v>
      </c>
      <c r="BN157" s="11" t="n">
        <v>15</v>
      </c>
      <c r="BO157" s="11" t="n">
        <v>0</v>
      </c>
      <c r="BP157" s="11" t="n">
        <v>0</v>
      </c>
      <c r="BQ157" s="11" t="n">
        <v>0</v>
      </c>
      <c r="BR157" s="11" t="n">
        <v>0</v>
      </c>
      <c r="BS157" s="11" t="n">
        <v>0</v>
      </c>
      <c r="BT157" s="11" t="n">
        <v>0</v>
      </c>
      <c r="BU157" s="11" t="n">
        <v>0</v>
      </c>
      <c r="BV157" s="11" t="n">
        <v>0</v>
      </c>
      <c r="BW157" s="11" t="n">
        <v>0</v>
      </c>
      <c r="BX157" s="11" t="n">
        <v>0</v>
      </c>
      <c r="BY157" s="11" t="n">
        <v>0</v>
      </c>
      <c r="BZ157" s="11" t="n">
        <v>0</v>
      </c>
      <c r="CA157" s="11" t="n">
        <v>0</v>
      </c>
      <c r="CB157" s="11" t="n">
        <v>0</v>
      </c>
      <c r="CC157" s="11" t="n">
        <v>0</v>
      </c>
      <c r="CD157" s="11" t="n">
        <v>0</v>
      </c>
      <c r="CE157" s="11" t="n">
        <v>0</v>
      </c>
    </row>
    <row r="158">
      <c r="A158" s="14" t="inlineStr">
        <is>
          <t>2026-02-10</t>
        </is>
      </c>
      <c r="B158" s="8" t="n">
        <v>0</v>
      </c>
      <c r="C158" s="8" t="n">
        <v>0</v>
      </c>
      <c r="D158" s="8" t="n">
        <v>0</v>
      </c>
      <c r="E158" s="8" t="n">
        <v>0</v>
      </c>
      <c r="F158" s="8" t="n">
        <v>0</v>
      </c>
      <c r="G158" s="8" t="n">
        <v>0</v>
      </c>
      <c r="H158" s="8" t="n">
        <v>0</v>
      </c>
      <c r="I158" s="8" t="n">
        <v>4</v>
      </c>
      <c r="J158" s="8" t="n">
        <v>0</v>
      </c>
      <c r="K158" s="8" t="n">
        <v>0</v>
      </c>
      <c r="L158" s="8" t="n">
        <v>0</v>
      </c>
      <c r="M158" s="8" t="n">
        <v>0</v>
      </c>
      <c r="N158" s="8" t="n">
        <v>0</v>
      </c>
      <c r="O158" s="8" t="n">
        <v>0</v>
      </c>
      <c r="P158" s="8" t="n">
        <v>0</v>
      </c>
      <c r="Q158" s="8" t="n">
        <v>0</v>
      </c>
      <c r="R158" s="8" t="n">
        <v>3</v>
      </c>
      <c r="S158" s="8" t="n">
        <v>0</v>
      </c>
      <c r="T158" s="8" t="n">
        <v>17</v>
      </c>
      <c r="U158" s="8" t="n">
        <v>0</v>
      </c>
      <c r="V158" s="8" t="n">
        <v>0</v>
      </c>
      <c r="W158" s="8" t="n">
        <v>0</v>
      </c>
      <c r="X158" s="8" t="n">
        <v>0</v>
      </c>
      <c r="Y158" s="8" t="n">
        <v>0</v>
      </c>
      <c r="Z158" s="8" t="n">
        <v>0</v>
      </c>
      <c r="AA158" s="8" t="n">
        <v>0</v>
      </c>
      <c r="AB158" s="8" t="n">
        <v>0</v>
      </c>
      <c r="AC158" s="8" t="n">
        <v>0</v>
      </c>
      <c r="AD158" s="8" t="n">
        <v>0</v>
      </c>
      <c r="AE158" s="8" t="n">
        <v>0</v>
      </c>
      <c r="AF158" s="8" t="n">
        <v>6</v>
      </c>
      <c r="AG158" s="8" t="n">
        <v>0</v>
      </c>
      <c r="AH158" s="8" t="n">
        <v>8</v>
      </c>
      <c r="AI158" s="8" t="n">
        <v>0</v>
      </c>
      <c r="AJ158" s="8" t="n">
        <v>0</v>
      </c>
      <c r="AK158" s="8" t="n">
        <v>0</v>
      </c>
      <c r="AL158" s="8" t="n">
        <v>0</v>
      </c>
      <c r="AM158" s="8" t="n">
        <v>0</v>
      </c>
      <c r="AN158" s="8" t="n">
        <v>0</v>
      </c>
      <c r="AO158" s="8" t="n">
        <v>0</v>
      </c>
      <c r="AP158" s="8" t="n">
        <v>0</v>
      </c>
      <c r="AQ158" s="8" t="n">
        <v>0</v>
      </c>
      <c r="AR158" s="8" t="n">
        <v>0</v>
      </c>
      <c r="AS158" s="8" t="n">
        <v>0</v>
      </c>
      <c r="AT158" s="8" t="n">
        <v>0</v>
      </c>
      <c r="AU158" s="8" t="n">
        <v>0</v>
      </c>
      <c r="AV158" s="8" t="n">
        <v>0</v>
      </c>
      <c r="AW158" s="8" t="n">
        <v>0</v>
      </c>
      <c r="AX158" s="8" t="n">
        <v>0</v>
      </c>
      <c r="AY158" s="8" t="n">
        <v>0</v>
      </c>
      <c r="AZ158" s="8" t="n">
        <v>0</v>
      </c>
      <c r="BA158" s="8" t="n">
        <v>6.5</v>
      </c>
      <c r="BB158" s="8" t="n">
        <v>0</v>
      </c>
      <c r="BC158" s="8" t="n">
        <v>0</v>
      </c>
      <c r="BD158" s="8" t="n">
        <v>0</v>
      </c>
      <c r="BE158" s="8" t="n">
        <v>0</v>
      </c>
      <c r="BF158" s="8" t="n">
        <v>0</v>
      </c>
      <c r="BG158" s="8" t="n">
        <v>0</v>
      </c>
      <c r="BH158" s="8" t="n">
        <v>0</v>
      </c>
      <c r="BI158" s="8" t="n">
        <v>0</v>
      </c>
      <c r="BJ158" s="8" t="n">
        <v>0</v>
      </c>
      <c r="BK158" s="8" t="n">
        <v>0</v>
      </c>
      <c r="BL158" s="8" t="n">
        <v>4</v>
      </c>
      <c r="BM158" s="8" t="n">
        <v>0</v>
      </c>
      <c r="BN158" s="8" t="n">
        <v>15</v>
      </c>
      <c r="BO158" s="8" t="n">
        <v>0</v>
      </c>
      <c r="BP158" s="8" t="n">
        <v>0</v>
      </c>
      <c r="BQ158" s="8" t="n">
        <v>0</v>
      </c>
      <c r="BR158" s="8" t="n">
        <v>0</v>
      </c>
      <c r="BS158" s="8" t="n">
        <v>0</v>
      </c>
      <c r="BT158" s="8" t="n">
        <v>0</v>
      </c>
      <c r="BU158" s="8" t="n">
        <v>0</v>
      </c>
      <c r="BV158" s="8" t="n">
        <v>0</v>
      </c>
      <c r="BW158" s="8" t="n">
        <v>0</v>
      </c>
      <c r="BX158" s="8" t="n">
        <v>0</v>
      </c>
      <c r="BY158" s="8" t="n">
        <v>0</v>
      </c>
      <c r="BZ158" s="8" t="n">
        <v>0</v>
      </c>
      <c r="CA158" s="8" t="n">
        <v>0</v>
      </c>
      <c r="CB158" s="8" t="n">
        <v>0</v>
      </c>
      <c r="CC158" s="8" t="n">
        <v>0</v>
      </c>
      <c r="CD158" s="8" t="n">
        <v>0</v>
      </c>
      <c r="CE158" s="8" t="n">
        <v>0</v>
      </c>
    </row>
    <row r="159">
      <c r="A159" s="15" t="inlineStr">
        <is>
          <t>2026-02-11</t>
        </is>
      </c>
      <c r="B159" s="11" t="n">
        <v>0</v>
      </c>
      <c r="C159" s="11" t="n">
        <v>0</v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4</v>
      </c>
      <c r="J159" s="11" t="n">
        <v>2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  <c r="P159" s="11" t="n">
        <v>0</v>
      </c>
      <c r="Q159" s="11" t="n">
        <v>0</v>
      </c>
      <c r="R159" s="11" t="n">
        <v>3</v>
      </c>
      <c r="S159" s="11" t="n">
        <v>0</v>
      </c>
      <c r="T159" s="11" t="n">
        <v>17</v>
      </c>
      <c r="U159" s="11" t="n">
        <v>0</v>
      </c>
      <c r="V159" s="11" t="n">
        <v>0</v>
      </c>
      <c r="W159" s="11" t="n">
        <v>0</v>
      </c>
      <c r="X159" s="11" t="n">
        <v>0</v>
      </c>
      <c r="Y159" s="11" t="n">
        <v>0</v>
      </c>
      <c r="Z159" s="11" t="n">
        <v>0</v>
      </c>
      <c r="AA159" s="11" t="n">
        <v>0</v>
      </c>
      <c r="AB159" s="11" t="n">
        <v>0</v>
      </c>
      <c r="AC159" s="11" t="n">
        <v>0</v>
      </c>
      <c r="AD159" s="11" t="n">
        <v>0</v>
      </c>
      <c r="AE159" s="11" t="n">
        <v>0</v>
      </c>
      <c r="AF159" s="11" t="n">
        <v>6</v>
      </c>
      <c r="AG159" s="11" t="n">
        <v>0</v>
      </c>
      <c r="AH159" s="11" t="n">
        <v>8</v>
      </c>
      <c r="AI159" s="11" t="n">
        <v>0</v>
      </c>
      <c r="AJ159" s="11" t="n">
        <v>0</v>
      </c>
      <c r="AK159" s="11" t="n">
        <v>0</v>
      </c>
      <c r="AL159" s="11" t="n">
        <v>0</v>
      </c>
      <c r="AM159" s="11" t="n">
        <v>0</v>
      </c>
      <c r="AN159" s="11" t="n">
        <v>0</v>
      </c>
      <c r="AO159" s="11" t="n">
        <v>0</v>
      </c>
      <c r="AP159" s="11" t="n">
        <v>0</v>
      </c>
      <c r="AQ159" s="11" t="n">
        <v>0</v>
      </c>
      <c r="AR159" s="11" t="n">
        <v>0</v>
      </c>
      <c r="AS159" s="11" t="n">
        <v>0</v>
      </c>
      <c r="AT159" s="11" t="n">
        <v>0</v>
      </c>
      <c r="AU159" s="11" t="n">
        <v>0</v>
      </c>
      <c r="AV159" s="11" t="n">
        <v>0</v>
      </c>
      <c r="AW159" s="11" t="n">
        <v>0</v>
      </c>
      <c r="AX159" s="11" t="n">
        <v>0</v>
      </c>
      <c r="AY159" s="11" t="n">
        <v>0</v>
      </c>
      <c r="AZ159" s="11" t="n">
        <v>0</v>
      </c>
      <c r="BA159" s="11" t="n">
        <v>6.5</v>
      </c>
      <c r="BB159" s="11" t="n">
        <v>0</v>
      </c>
      <c r="BC159" s="11" t="n">
        <v>0</v>
      </c>
      <c r="BD159" s="11" t="n">
        <v>0</v>
      </c>
      <c r="BE159" s="11" t="n">
        <v>0</v>
      </c>
      <c r="BF159" s="11" t="n">
        <v>0</v>
      </c>
      <c r="BG159" s="11" t="n">
        <v>0</v>
      </c>
      <c r="BH159" s="11" t="n">
        <v>0</v>
      </c>
      <c r="BI159" s="11" t="n">
        <v>0</v>
      </c>
      <c r="BJ159" s="11" t="n">
        <v>0</v>
      </c>
      <c r="BK159" s="11" t="n">
        <v>0</v>
      </c>
      <c r="BL159" s="11" t="n">
        <v>4</v>
      </c>
      <c r="BM159" s="11" t="n">
        <v>0</v>
      </c>
      <c r="BN159" s="11" t="n">
        <v>15</v>
      </c>
      <c r="BO159" s="11" t="n">
        <v>0</v>
      </c>
      <c r="BP159" s="11" t="n">
        <v>0</v>
      </c>
      <c r="BQ159" s="11" t="n">
        <v>0</v>
      </c>
      <c r="BR159" s="11" t="n">
        <v>0</v>
      </c>
      <c r="BS159" s="11" t="n">
        <v>0</v>
      </c>
      <c r="BT159" s="11" t="n">
        <v>0</v>
      </c>
      <c r="BU159" s="11" t="n">
        <v>0</v>
      </c>
      <c r="BV159" s="11" t="n">
        <v>0</v>
      </c>
      <c r="BW159" s="11" t="n">
        <v>0</v>
      </c>
      <c r="BX159" s="11" t="n">
        <v>0</v>
      </c>
      <c r="BY159" s="11" t="n">
        <v>0</v>
      </c>
      <c r="BZ159" s="11" t="n">
        <v>0</v>
      </c>
      <c r="CA159" s="11" t="n">
        <v>0</v>
      </c>
      <c r="CB159" s="11" t="n">
        <v>0</v>
      </c>
      <c r="CC159" s="11" t="n">
        <v>0</v>
      </c>
      <c r="CD159" s="11" t="n">
        <v>0</v>
      </c>
      <c r="CE159" s="11" t="n">
        <v>0</v>
      </c>
    </row>
    <row r="160">
      <c r="A160" s="14" t="inlineStr">
        <is>
          <t>2026-02-12</t>
        </is>
      </c>
      <c r="B160" s="8" t="n">
        <v>0</v>
      </c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4</v>
      </c>
      <c r="J160" s="8" t="n">
        <v>2</v>
      </c>
      <c r="K160" s="8" t="n">
        <v>0</v>
      </c>
      <c r="L160" s="8" t="n">
        <v>0</v>
      </c>
      <c r="M160" s="8" t="n">
        <v>0</v>
      </c>
      <c r="N160" s="8" t="n">
        <v>0</v>
      </c>
      <c r="O160" s="8" t="n">
        <v>0</v>
      </c>
      <c r="P160" s="8" t="n">
        <v>0</v>
      </c>
      <c r="Q160" s="8" t="n">
        <v>0</v>
      </c>
      <c r="R160" s="8" t="n">
        <v>3</v>
      </c>
      <c r="S160" s="8" t="n">
        <v>0</v>
      </c>
      <c r="T160" s="8" t="n">
        <v>17</v>
      </c>
      <c r="U160" s="8" t="n">
        <v>0</v>
      </c>
      <c r="V160" s="8" t="n">
        <v>0</v>
      </c>
      <c r="W160" s="8" t="n">
        <v>0</v>
      </c>
      <c r="X160" s="8" t="n">
        <v>0</v>
      </c>
      <c r="Y160" s="8" t="n">
        <v>0</v>
      </c>
      <c r="Z160" s="8" t="n">
        <v>0</v>
      </c>
      <c r="AA160" s="8" t="n">
        <v>0</v>
      </c>
      <c r="AB160" s="8" t="n">
        <v>0</v>
      </c>
      <c r="AC160" s="8" t="n">
        <v>0</v>
      </c>
      <c r="AD160" s="8" t="n">
        <v>0</v>
      </c>
      <c r="AE160" s="8" t="n">
        <v>0</v>
      </c>
      <c r="AF160" s="8" t="n">
        <v>6</v>
      </c>
      <c r="AG160" s="8" t="n">
        <v>0</v>
      </c>
      <c r="AH160" s="8" t="n">
        <v>8</v>
      </c>
      <c r="AI160" s="8" t="n">
        <v>0</v>
      </c>
      <c r="AJ160" s="8" t="n">
        <v>0</v>
      </c>
      <c r="AK160" s="8" t="n">
        <v>0</v>
      </c>
      <c r="AL160" s="8" t="n">
        <v>0</v>
      </c>
      <c r="AM160" s="8" t="n">
        <v>0</v>
      </c>
      <c r="AN160" s="8" t="n">
        <v>0</v>
      </c>
      <c r="AO160" s="8" t="n">
        <v>0</v>
      </c>
      <c r="AP160" s="8" t="n">
        <v>0</v>
      </c>
      <c r="AQ160" s="8" t="n">
        <v>0</v>
      </c>
      <c r="AR160" s="8" t="n">
        <v>0</v>
      </c>
      <c r="AS160" s="8" t="n">
        <v>0</v>
      </c>
      <c r="AT160" s="8" t="n">
        <v>0</v>
      </c>
      <c r="AU160" s="8" t="n">
        <v>0</v>
      </c>
      <c r="AV160" s="8" t="n">
        <v>0</v>
      </c>
      <c r="AW160" s="8" t="n">
        <v>0</v>
      </c>
      <c r="AX160" s="8" t="n">
        <v>0</v>
      </c>
      <c r="AY160" s="8" t="n">
        <v>0</v>
      </c>
      <c r="AZ160" s="8" t="n">
        <v>0</v>
      </c>
      <c r="BA160" s="8" t="n">
        <v>6.5</v>
      </c>
      <c r="BB160" s="8" t="n">
        <v>0</v>
      </c>
      <c r="BC160" s="8" t="n">
        <v>0</v>
      </c>
      <c r="BD160" s="8" t="n">
        <v>0</v>
      </c>
      <c r="BE160" s="8" t="n">
        <v>0</v>
      </c>
      <c r="BF160" s="8" t="n">
        <v>0</v>
      </c>
      <c r="BG160" s="8" t="n">
        <v>0</v>
      </c>
      <c r="BH160" s="8" t="n">
        <v>0</v>
      </c>
      <c r="BI160" s="8" t="n">
        <v>0</v>
      </c>
      <c r="BJ160" s="8" t="n">
        <v>0</v>
      </c>
      <c r="BK160" s="8" t="n">
        <v>0</v>
      </c>
      <c r="BL160" s="8" t="n">
        <v>4</v>
      </c>
      <c r="BM160" s="8" t="n">
        <v>0</v>
      </c>
      <c r="BN160" s="8" t="n">
        <v>15</v>
      </c>
      <c r="BO160" s="8" t="n">
        <v>0</v>
      </c>
      <c r="BP160" s="8" t="n">
        <v>0</v>
      </c>
      <c r="BQ160" s="8" t="n">
        <v>0</v>
      </c>
      <c r="BR160" s="8" t="n">
        <v>0</v>
      </c>
      <c r="BS160" s="8" t="n">
        <v>0</v>
      </c>
      <c r="BT160" s="8" t="n">
        <v>0</v>
      </c>
      <c r="BU160" s="8" t="n">
        <v>0</v>
      </c>
      <c r="BV160" s="8" t="n">
        <v>0</v>
      </c>
      <c r="BW160" s="8" t="n">
        <v>0</v>
      </c>
      <c r="BX160" s="8" t="n">
        <v>0</v>
      </c>
      <c r="BY160" s="8" t="n">
        <v>0</v>
      </c>
      <c r="BZ160" s="8" t="n">
        <v>0</v>
      </c>
      <c r="CA160" s="8" t="n">
        <v>0</v>
      </c>
      <c r="CB160" s="8" t="n">
        <v>0</v>
      </c>
      <c r="CC160" s="8" t="n">
        <v>0</v>
      </c>
      <c r="CD160" s="8" t="n">
        <v>0</v>
      </c>
      <c r="CE160" s="8" t="n">
        <v>0</v>
      </c>
    </row>
    <row r="161">
      <c r="A161" s="15" t="inlineStr">
        <is>
          <t>2026-02-13</t>
        </is>
      </c>
      <c r="B161" s="11" t="n">
        <v>0</v>
      </c>
      <c r="C161" s="11" t="n">
        <v>0</v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4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0</v>
      </c>
      <c r="R161" s="11" t="n">
        <v>3</v>
      </c>
      <c r="S161" s="11" t="n">
        <v>0</v>
      </c>
      <c r="T161" s="11" t="n">
        <v>17</v>
      </c>
      <c r="U161" s="11" t="n">
        <v>0</v>
      </c>
      <c r="V161" s="11" t="n">
        <v>0</v>
      </c>
      <c r="W161" s="11" t="n">
        <v>0</v>
      </c>
      <c r="X161" s="11" t="n">
        <v>0</v>
      </c>
      <c r="Y161" s="11" t="n">
        <v>0</v>
      </c>
      <c r="Z161" s="11" t="n">
        <v>0</v>
      </c>
      <c r="AA161" s="11" t="n">
        <v>0</v>
      </c>
      <c r="AB161" s="11" t="n">
        <v>0</v>
      </c>
      <c r="AC161" s="11" t="n">
        <v>0</v>
      </c>
      <c r="AD161" s="11" t="n">
        <v>0</v>
      </c>
      <c r="AE161" s="11" t="n">
        <v>0</v>
      </c>
      <c r="AF161" s="11" t="n">
        <v>6</v>
      </c>
      <c r="AG161" s="11" t="n">
        <v>0</v>
      </c>
      <c r="AH161" s="11" t="n">
        <v>8</v>
      </c>
      <c r="AI161" s="11" t="n">
        <v>0</v>
      </c>
      <c r="AJ161" s="11" t="n">
        <v>0</v>
      </c>
      <c r="AK161" s="11" t="n">
        <v>0</v>
      </c>
      <c r="AL161" s="11" t="n">
        <v>0</v>
      </c>
      <c r="AM161" s="11" t="n">
        <v>0</v>
      </c>
      <c r="AN161" s="11" t="n">
        <v>0</v>
      </c>
      <c r="AO161" s="11" t="n">
        <v>0</v>
      </c>
      <c r="AP161" s="11" t="n">
        <v>0</v>
      </c>
      <c r="AQ161" s="11" t="n">
        <v>0</v>
      </c>
      <c r="AR161" s="11" t="n">
        <v>0</v>
      </c>
      <c r="AS161" s="11" t="n">
        <v>0</v>
      </c>
      <c r="AT161" s="11" t="n">
        <v>0</v>
      </c>
      <c r="AU161" s="11" t="n">
        <v>0</v>
      </c>
      <c r="AV161" s="11" t="n">
        <v>0</v>
      </c>
      <c r="AW161" s="11" t="n">
        <v>0</v>
      </c>
      <c r="AX161" s="11" t="n">
        <v>0</v>
      </c>
      <c r="AY161" s="11" t="n">
        <v>0</v>
      </c>
      <c r="AZ161" s="11" t="n">
        <v>0</v>
      </c>
      <c r="BA161" s="11" t="n">
        <v>6.5</v>
      </c>
      <c r="BB161" s="11" t="n">
        <v>0</v>
      </c>
      <c r="BC161" s="11" t="n">
        <v>0</v>
      </c>
      <c r="BD161" s="11" t="n">
        <v>0</v>
      </c>
      <c r="BE161" s="11" t="n">
        <v>0</v>
      </c>
      <c r="BF161" s="11" t="n">
        <v>0</v>
      </c>
      <c r="BG161" s="11" t="n">
        <v>0</v>
      </c>
      <c r="BH161" s="11" t="n">
        <v>0</v>
      </c>
      <c r="BI161" s="11" t="n">
        <v>0</v>
      </c>
      <c r="BJ161" s="11" t="n">
        <v>0</v>
      </c>
      <c r="BK161" s="11" t="n">
        <v>0</v>
      </c>
      <c r="BL161" s="11" t="n">
        <v>4</v>
      </c>
      <c r="BM161" s="11" t="n">
        <v>0</v>
      </c>
      <c r="BN161" s="11" t="n">
        <v>15</v>
      </c>
      <c r="BO161" s="11" t="n">
        <v>0</v>
      </c>
      <c r="BP161" s="11" t="n">
        <v>0</v>
      </c>
      <c r="BQ161" s="11" t="n">
        <v>0</v>
      </c>
      <c r="BR161" s="11" t="n">
        <v>0</v>
      </c>
      <c r="BS161" s="11" t="n">
        <v>0</v>
      </c>
      <c r="BT161" s="11" t="n">
        <v>0</v>
      </c>
      <c r="BU161" s="11" t="n">
        <v>0</v>
      </c>
      <c r="BV161" s="11" t="n">
        <v>0</v>
      </c>
      <c r="BW161" s="11" t="n">
        <v>0</v>
      </c>
      <c r="BX161" s="11" t="n">
        <v>0</v>
      </c>
      <c r="BY161" s="11" t="n">
        <v>0</v>
      </c>
      <c r="BZ161" s="11" t="n">
        <v>0</v>
      </c>
      <c r="CA161" s="11" t="n">
        <v>0</v>
      </c>
      <c r="CB161" s="11" t="n">
        <v>0</v>
      </c>
      <c r="CC161" s="11" t="n">
        <v>0</v>
      </c>
      <c r="CD161" s="11" t="n">
        <v>0</v>
      </c>
      <c r="CE161" s="11" t="n">
        <v>0</v>
      </c>
    </row>
    <row r="162">
      <c r="A162" s="14" t="inlineStr">
        <is>
          <t>2026-02-16</t>
        </is>
      </c>
      <c r="B162" s="8" t="n">
        <v>0</v>
      </c>
      <c r="C162" s="8" t="n">
        <v>0</v>
      </c>
      <c r="D162" s="8" t="n">
        <v>0</v>
      </c>
      <c r="E162" s="8" t="n">
        <v>0</v>
      </c>
      <c r="F162" s="8" t="n">
        <v>0</v>
      </c>
      <c r="G162" s="8" t="n">
        <v>0</v>
      </c>
      <c r="H162" s="8" t="n">
        <v>0</v>
      </c>
      <c r="I162" s="8" t="n">
        <v>4</v>
      </c>
      <c r="J162" s="8" t="n">
        <v>0</v>
      </c>
      <c r="K162" s="8" t="n">
        <v>0</v>
      </c>
      <c r="L162" s="8" t="n">
        <v>0</v>
      </c>
      <c r="M162" s="8" t="n">
        <v>0</v>
      </c>
      <c r="N162" s="8" t="n">
        <v>0</v>
      </c>
      <c r="O162" s="8" t="n">
        <v>0</v>
      </c>
      <c r="P162" s="8" t="n">
        <v>0</v>
      </c>
      <c r="Q162" s="8" t="n">
        <v>0</v>
      </c>
      <c r="R162" s="8" t="n">
        <v>3</v>
      </c>
      <c r="S162" s="8" t="n">
        <v>0</v>
      </c>
      <c r="T162" s="8" t="n">
        <v>17</v>
      </c>
      <c r="U162" s="8" t="n">
        <v>0</v>
      </c>
      <c r="V162" s="8" t="n">
        <v>0</v>
      </c>
      <c r="W162" s="8" t="n">
        <v>0</v>
      </c>
      <c r="X162" s="8" t="n">
        <v>0</v>
      </c>
      <c r="Y162" s="8" t="n">
        <v>0</v>
      </c>
      <c r="Z162" s="8" t="n">
        <v>0</v>
      </c>
      <c r="AA162" s="8" t="n">
        <v>0</v>
      </c>
      <c r="AB162" s="8" t="n">
        <v>0</v>
      </c>
      <c r="AC162" s="8" t="n">
        <v>0</v>
      </c>
      <c r="AD162" s="8" t="n">
        <v>0</v>
      </c>
      <c r="AE162" s="8" t="n">
        <v>0</v>
      </c>
      <c r="AF162" s="8" t="n">
        <v>6</v>
      </c>
      <c r="AG162" s="8" t="n">
        <v>0</v>
      </c>
      <c r="AH162" s="8" t="n">
        <v>8</v>
      </c>
      <c r="AI162" s="8" t="n">
        <v>0</v>
      </c>
      <c r="AJ162" s="8" t="n">
        <v>0</v>
      </c>
      <c r="AK162" s="8" t="n">
        <v>0</v>
      </c>
      <c r="AL162" s="8" t="n">
        <v>0</v>
      </c>
      <c r="AM162" s="8" t="n">
        <v>0</v>
      </c>
      <c r="AN162" s="8" t="n">
        <v>0</v>
      </c>
      <c r="AO162" s="8" t="n">
        <v>0</v>
      </c>
      <c r="AP162" s="8" t="n">
        <v>0</v>
      </c>
      <c r="AQ162" s="8" t="n">
        <v>0</v>
      </c>
      <c r="AR162" s="8" t="n">
        <v>0</v>
      </c>
      <c r="AS162" s="8" t="n">
        <v>0</v>
      </c>
      <c r="AT162" s="8" t="n">
        <v>0</v>
      </c>
      <c r="AU162" s="8" t="n">
        <v>0</v>
      </c>
      <c r="AV162" s="8" t="n">
        <v>0</v>
      </c>
      <c r="AW162" s="8" t="n">
        <v>0</v>
      </c>
      <c r="AX162" s="8" t="n">
        <v>0</v>
      </c>
      <c r="AY162" s="8" t="n">
        <v>0</v>
      </c>
      <c r="AZ162" s="8" t="n">
        <v>0</v>
      </c>
      <c r="BA162" s="8" t="n">
        <v>6.5</v>
      </c>
      <c r="BB162" s="8" t="n">
        <v>0</v>
      </c>
      <c r="BC162" s="8" t="n">
        <v>0</v>
      </c>
      <c r="BD162" s="8" t="n">
        <v>0</v>
      </c>
      <c r="BE162" s="8" t="n">
        <v>0</v>
      </c>
      <c r="BF162" s="8" t="n">
        <v>0</v>
      </c>
      <c r="BG162" s="8" t="n">
        <v>0</v>
      </c>
      <c r="BH162" s="8" t="n">
        <v>0</v>
      </c>
      <c r="BI162" s="8" t="n">
        <v>0</v>
      </c>
      <c r="BJ162" s="8" t="n">
        <v>0</v>
      </c>
      <c r="BK162" s="8" t="n">
        <v>0</v>
      </c>
      <c r="BL162" s="8" t="n">
        <v>4</v>
      </c>
      <c r="BM162" s="8" t="n">
        <v>0</v>
      </c>
      <c r="BN162" s="8" t="n">
        <v>15</v>
      </c>
      <c r="BO162" s="8" t="n">
        <v>0</v>
      </c>
      <c r="BP162" s="8" t="n">
        <v>0</v>
      </c>
      <c r="BQ162" s="8" t="n">
        <v>0</v>
      </c>
      <c r="BR162" s="8" t="n">
        <v>0</v>
      </c>
      <c r="BS162" s="8" t="n">
        <v>0</v>
      </c>
      <c r="BT162" s="8" t="n">
        <v>0</v>
      </c>
      <c r="BU162" s="8" t="n">
        <v>0</v>
      </c>
      <c r="BV162" s="8" t="n">
        <v>0</v>
      </c>
      <c r="BW162" s="8" t="n">
        <v>0</v>
      </c>
      <c r="BX162" s="8" t="n">
        <v>0</v>
      </c>
      <c r="BY162" s="8" t="n">
        <v>0</v>
      </c>
      <c r="BZ162" s="8" t="n">
        <v>0</v>
      </c>
      <c r="CA162" s="8" t="n">
        <v>0</v>
      </c>
      <c r="CB162" s="8" t="n">
        <v>0</v>
      </c>
      <c r="CC162" s="8" t="n">
        <v>0</v>
      </c>
      <c r="CD162" s="8" t="n">
        <v>0</v>
      </c>
      <c r="CE162" s="8" t="n">
        <v>0</v>
      </c>
    </row>
    <row r="163">
      <c r="A163" s="15" t="inlineStr">
        <is>
          <t>2026-02-17</t>
        </is>
      </c>
      <c r="B163" s="11" t="n">
        <v>0</v>
      </c>
      <c r="C163" s="11" t="n">
        <v>0</v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4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  <c r="P163" s="11" t="n">
        <v>0</v>
      </c>
      <c r="Q163" s="11" t="n">
        <v>0</v>
      </c>
      <c r="R163" s="11" t="n">
        <v>0</v>
      </c>
      <c r="S163" s="11" t="n">
        <v>0</v>
      </c>
      <c r="T163" s="11" t="n">
        <v>17</v>
      </c>
      <c r="U163" s="11" t="n">
        <v>0</v>
      </c>
      <c r="V163" s="11" t="n">
        <v>0</v>
      </c>
      <c r="W163" s="11" t="n">
        <v>0</v>
      </c>
      <c r="X163" s="11" t="n">
        <v>0</v>
      </c>
      <c r="Y163" s="11" t="n">
        <v>0</v>
      </c>
      <c r="Z163" s="11" t="n">
        <v>0</v>
      </c>
      <c r="AA163" s="11" t="n">
        <v>0</v>
      </c>
      <c r="AB163" s="11" t="n">
        <v>0</v>
      </c>
      <c r="AC163" s="11" t="n">
        <v>0</v>
      </c>
      <c r="AD163" s="11" t="n">
        <v>0</v>
      </c>
      <c r="AE163" s="11" t="n">
        <v>0</v>
      </c>
      <c r="AF163" s="11" t="n">
        <v>0</v>
      </c>
      <c r="AG163" s="11" t="n">
        <v>0</v>
      </c>
      <c r="AH163" s="11" t="n">
        <v>8</v>
      </c>
      <c r="AI163" s="11" t="n">
        <v>0</v>
      </c>
      <c r="AJ163" s="11" t="n">
        <v>0</v>
      </c>
      <c r="AK163" s="11" t="n">
        <v>0</v>
      </c>
      <c r="AL163" s="11" t="n">
        <v>0</v>
      </c>
      <c r="AM163" s="11" t="n">
        <v>0</v>
      </c>
      <c r="AN163" s="11" t="n">
        <v>0</v>
      </c>
      <c r="AO163" s="11" t="n">
        <v>0</v>
      </c>
      <c r="AP163" s="11" t="n">
        <v>0</v>
      </c>
      <c r="AQ163" s="11" t="n">
        <v>0</v>
      </c>
      <c r="AR163" s="11" t="n">
        <v>0</v>
      </c>
      <c r="AS163" s="11" t="n">
        <v>0</v>
      </c>
      <c r="AT163" s="11" t="n">
        <v>0</v>
      </c>
      <c r="AU163" s="11" t="n">
        <v>0</v>
      </c>
      <c r="AV163" s="11" t="n">
        <v>0</v>
      </c>
      <c r="AW163" s="11" t="n">
        <v>0</v>
      </c>
      <c r="AX163" s="11" t="n">
        <v>0</v>
      </c>
      <c r="AY163" s="11" t="n">
        <v>0</v>
      </c>
      <c r="AZ163" s="11" t="n">
        <v>0</v>
      </c>
      <c r="BA163" s="11" t="n">
        <v>6.5</v>
      </c>
      <c r="BB163" s="11" t="n">
        <v>0</v>
      </c>
      <c r="BC163" s="11" t="n">
        <v>0</v>
      </c>
      <c r="BD163" s="11" t="n">
        <v>0</v>
      </c>
      <c r="BE163" s="11" t="n">
        <v>0</v>
      </c>
      <c r="BF163" s="11" t="n">
        <v>0</v>
      </c>
      <c r="BG163" s="11" t="n">
        <v>0</v>
      </c>
      <c r="BH163" s="11" t="n">
        <v>0</v>
      </c>
      <c r="BI163" s="11" t="n">
        <v>0</v>
      </c>
      <c r="BJ163" s="11" t="n">
        <v>0</v>
      </c>
      <c r="BK163" s="11" t="n">
        <v>0</v>
      </c>
      <c r="BL163" s="11" t="n">
        <v>0</v>
      </c>
      <c r="BM163" s="11" t="n">
        <v>0</v>
      </c>
      <c r="BN163" s="11" t="n">
        <v>15</v>
      </c>
      <c r="BO163" s="11" t="n">
        <v>0</v>
      </c>
      <c r="BP163" s="11" t="n">
        <v>0</v>
      </c>
      <c r="BQ163" s="11" t="n">
        <v>0</v>
      </c>
      <c r="BR163" s="11" t="n">
        <v>0</v>
      </c>
      <c r="BS163" s="11" t="n">
        <v>0</v>
      </c>
      <c r="BT163" s="11" t="n">
        <v>0</v>
      </c>
      <c r="BU163" s="11" t="n">
        <v>0</v>
      </c>
      <c r="BV163" s="11" t="n">
        <v>0</v>
      </c>
      <c r="BW163" s="11" t="n">
        <v>0</v>
      </c>
      <c r="BX163" s="11" t="n">
        <v>0</v>
      </c>
      <c r="BY163" s="11" t="n">
        <v>0</v>
      </c>
      <c r="BZ163" s="11" t="n">
        <v>0</v>
      </c>
      <c r="CA163" s="11" t="n">
        <v>0</v>
      </c>
      <c r="CB163" s="11" t="n">
        <v>0</v>
      </c>
      <c r="CC163" s="11" t="n">
        <v>0</v>
      </c>
      <c r="CD163" s="11" t="n">
        <v>5</v>
      </c>
      <c r="CE163" s="11" t="n">
        <v>0</v>
      </c>
    </row>
    <row r="164">
      <c r="A164" s="14" t="inlineStr">
        <is>
          <t>2026-02-18</t>
        </is>
      </c>
      <c r="B164" s="8" t="n">
        <v>0</v>
      </c>
      <c r="C164" s="8" t="n">
        <v>0</v>
      </c>
      <c r="D164" s="8" t="n">
        <v>0</v>
      </c>
      <c r="E164" s="8" t="n">
        <v>0</v>
      </c>
      <c r="F164" s="8" t="n">
        <v>0</v>
      </c>
      <c r="G164" s="8" t="n">
        <v>0</v>
      </c>
      <c r="H164" s="8" t="n">
        <v>0</v>
      </c>
      <c r="I164" s="8" t="n">
        <v>4</v>
      </c>
      <c r="J164" s="8" t="n">
        <v>0</v>
      </c>
      <c r="K164" s="8" t="n">
        <v>0</v>
      </c>
      <c r="L164" s="8" t="n">
        <v>0</v>
      </c>
      <c r="M164" s="8" t="n">
        <v>0</v>
      </c>
      <c r="N164" s="8" t="n">
        <v>0</v>
      </c>
      <c r="O164" s="8" t="n">
        <v>0</v>
      </c>
      <c r="P164" s="8" t="n">
        <v>0</v>
      </c>
      <c r="Q164" s="8" t="n">
        <v>0</v>
      </c>
      <c r="R164" s="8" t="n">
        <v>0</v>
      </c>
      <c r="S164" s="8" t="n">
        <v>0</v>
      </c>
      <c r="T164" s="8" t="n">
        <v>17</v>
      </c>
      <c r="U164" s="8" t="n">
        <v>0</v>
      </c>
      <c r="V164" s="8" t="n">
        <v>0</v>
      </c>
      <c r="W164" s="8" t="n">
        <v>0</v>
      </c>
      <c r="X164" s="8" t="n">
        <v>0</v>
      </c>
      <c r="Y164" s="8" t="n">
        <v>0</v>
      </c>
      <c r="Z164" s="8" t="n">
        <v>0</v>
      </c>
      <c r="AA164" s="8" t="n">
        <v>0</v>
      </c>
      <c r="AB164" s="8" t="n">
        <v>0</v>
      </c>
      <c r="AC164" s="8" t="n">
        <v>10</v>
      </c>
      <c r="AD164" s="8" t="n">
        <v>0</v>
      </c>
      <c r="AE164" s="8" t="n">
        <v>0</v>
      </c>
      <c r="AF164" s="8" t="n">
        <v>0</v>
      </c>
      <c r="AG164" s="8" t="n">
        <v>0</v>
      </c>
      <c r="AH164" s="8" t="n">
        <v>8</v>
      </c>
      <c r="AI164" s="8" t="n">
        <v>0</v>
      </c>
      <c r="AJ164" s="8" t="n">
        <v>0</v>
      </c>
      <c r="AK164" s="8" t="n">
        <v>0</v>
      </c>
      <c r="AL164" s="8" t="n">
        <v>0</v>
      </c>
      <c r="AM164" s="8" t="n">
        <v>0</v>
      </c>
      <c r="AN164" s="8" t="n">
        <v>0</v>
      </c>
      <c r="AO164" s="8" t="n">
        <v>0</v>
      </c>
      <c r="AP164" s="8" t="n">
        <v>0</v>
      </c>
      <c r="AQ164" s="8" t="n">
        <v>0</v>
      </c>
      <c r="AR164" s="8" t="n">
        <v>0</v>
      </c>
      <c r="AS164" s="8" t="n">
        <v>0</v>
      </c>
      <c r="AT164" s="8" t="n">
        <v>0</v>
      </c>
      <c r="AU164" s="8" t="n">
        <v>0</v>
      </c>
      <c r="AV164" s="8" t="n">
        <v>0</v>
      </c>
      <c r="AW164" s="8" t="n">
        <v>0</v>
      </c>
      <c r="AX164" s="8" t="n">
        <v>0</v>
      </c>
      <c r="AY164" s="8" t="n">
        <v>0</v>
      </c>
      <c r="AZ164" s="8" t="n">
        <v>0</v>
      </c>
      <c r="BA164" s="8" t="n">
        <v>6.5</v>
      </c>
      <c r="BB164" s="8" t="n">
        <v>0</v>
      </c>
      <c r="BC164" s="8" t="n">
        <v>0</v>
      </c>
      <c r="BD164" s="8" t="n">
        <v>0</v>
      </c>
      <c r="BE164" s="8" t="n">
        <v>0</v>
      </c>
      <c r="BF164" s="8" t="n">
        <v>0</v>
      </c>
      <c r="BG164" s="8" t="n">
        <v>0</v>
      </c>
      <c r="BH164" s="8" t="n">
        <v>0</v>
      </c>
      <c r="BI164" s="8" t="n">
        <v>0</v>
      </c>
      <c r="BJ164" s="8" t="n">
        <v>0</v>
      </c>
      <c r="BK164" s="8" t="n">
        <v>0</v>
      </c>
      <c r="BL164" s="8" t="n">
        <v>0</v>
      </c>
      <c r="BM164" s="8" t="n">
        <v>0</v>
      </c>
      <c r="BN164" s="8" t="n">
        <v>15</v>
      </c>
      <c r="BO164" s="8" t="n">
        <v>0</v>
      </c>
      <c r="BP164" s="8" t="n">
        <v>0</v>
      </c>
      <c r="BQ164" s="8" t="n">
        <v>0</v>
      </c>
      <c r="BR164" s="8" t="n">
        <v>0</v>
      </c>
      <c r="BS164" s="8" t="n">
        <v>0</v>
      </c>
      <c r="BT164" s="8" t="n">
        <v>0</v>
      </c>
      <c r="BU164" s="8" t="n">
        <v>0</v>
      </c>
      <c r="BV164" s="8" t="n">
        <v>0</v>
      </c>
      <c r="BW164" s="8" t="n">
        <v>0</v>
      </c>
      <c r="BX164" s="8" t="n">
        <v>0</v>
      </c>
      <c r="BY164" s="8" t="n">
        <v>0</v>
      </c>
      <c r="BZ164" s="8" t="n">
        <v>0</v>
      </c>
      <c r="CA164" s="8" t="n">
        <v>0</v>
      </c>
      <c r="CB164" s="8" t="n">
        <v>0</v>
      </c>
      <c r="CC164" s="8" t="n">
        <v>0</v>
      </c>
      <c r="CD164" s="8" t="n">
        <v>5</v>
      </c>
      <c r="CE164" s="8" t="n">
        <v>0</v>
      </c>
    </row>
    <row r="165">
      <c r="A165" s="15" t="inlineStr">
        <is>
          <t>2026-02-19</t>
        </is>
      </c>
      <c r="B165" s="11" t="n">
        <v>0</v>
      </c>
      <c r="C165" s="11" t="n">
        <v>0</v>
      </c>
      <c r="D165" s="11" t="n">
        <v>0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4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  <c r="P165" s="11" t="n">
        <v>0</v>
      </c>
      <c r="Q165" s="11" t="n">
        <v>0</v>
      </c>
      <c r="R165" s="11" t="n">
        <v>0</v>
      </c>
      <c r="S165" s="11" t="n">
        <v>0</v>
      </c>
      <c r="T165" s="11" t="n">
        <v>17</v>
      </c>
      <c r="U165" s="11" t="n">
        <v>0</v>
      </c>
      <c r="V165" s="11" t="n">
        <v>0</v>
      </c>
      <c r="W165" s="11" t="n">
        <v>0</v>
      </c>
      <c r="X165" s="11" t="n">
        <v>0</v>
      </c>
      <c r="Y165" s="11" t="n">
        <v>0</v>
      </c>
      <c r="Z165" s="11" t="n">
        <v>0</v>
      </c>
      <c r="AA165" s="11" t="n">
        <v>0</v>
      </c>
      <c r="AB165" s="11" t="n">
        <v>0</v>
      </c>
      <c r="AC165" s="11" t="n">
        <v>10</v>
      </c>
      <c r="AD165" s="11" t="n">
        <v>0</v>
      </c>
      <c r="AE165" s="11" t="n">
        <v>0</v>
      </c>
      <c r="AF165" s="11" t="n">
        <v>0</v>
      </c>
      <c r="AG165" s="11" t="n">
        <v>0</v>
      </c>
      <c r="AH165" s="11" t="n">
        <v>8</v>
      </c>
      <c r="AI165" s="11" t="n">
        <v>0</v>
      </c>
      <c r="AJ165" s="11" t="n">
        <v>0</v>
      </c>
      <c r="AK165" s="11" t="n">
        <v>0</v>
      </c>
      <c r="AL165" s="11" t="n">
        <v>0</v>
      </c>
      <c r="AM165" s="11" t="n">
        <v>0</v>
      </c>
      <c r="AN165" s="11" t="n">
        <v>0</v>
      </c>
      <c r="AO165" s="11" t="n">
        <v>0</v>
      </c>
      <c r="AP165" s="11" t="n">
        <v>0</v>
      </c>
      <c r="AQ165" s="11" t="n">
        <v>0</v>
      </c>
      <c r="AR165" s="11" t="n">
        <v>0</v>
      </c>
      <c r="AS165" s="11" t="n">
        <v>0</v>
      </c>
      <c r="AT165" s="11" t="n">
        <v>0</v>
      </c>
      <c r="AU165" s="11" t="n">
        <v>0</v>
      </c>
      <c r="AV165" s="11" t="n">
        <v>0</v>
      </c>
      <c r="AW165" s="11" t="n">
        <v>0</v>
      </c>
      <c r="AX165" s="11" t="n">
        <v>0</v>
      </c>
      <c r="AY165" s="11" t="n">
        <v>0</v>
      </c>
      <c r="AZ165" s="11" t="n">
        <v>0</v>
      </c>
      <c r="BA165" s="11" t="n">
        <v>6.5</v>
      </c>
      <c r="BB165" s="11" t="n">
        <v>0</v>
      </c>
      <c r="BC165" s="11" t="n">
        <v>0</v>
      </c>
      <c r="BD165" s="11" t="n">
        <v>0</v>
      </c>
      <c r="BE165" s="11" t="n">
        <v>0</v>
      </c>
      <c r="BF165" s="11" t="n">
        <v>0</v>
      </c>
      <c r="BG165" s="11" t="n">
        <v>0</v>
      </c>
      <c r="BH165" s="11" t="n">
        <v>0</v>
      </c>
      <c r="BI165" s="11" t="n">
        <v>0</v>
      </c>
      <c r="BJ165" s="11" t="n">
        <v>0</v>
      </c>
      <c r="BK165" s="11" t="n">
        <v>0</v>
      </c>
      <c r="BL165" s="11" t="n">
        <v>0</v>
      </c>
      <c r="BM165" s="11" t="n">
        <v>0</v>
      </c>
      <c r="BN165" s="11" t="n">
        <v>15</v>
      </c>
      <c r="BO165" s="11" t="n">
        <v>0</v>
      </c>
      <c r="BP165" s="11" t="n">
        <v>250</v>
      </c>
      <c r="BQ165" s="11" t="n">
        <v>0</v>
      </c>
      <c r="BR165" s="11" t="n">
        <v>0</v>
      </c>
      <c r="BS165" s="11" t="n">
        <v>0</v>
      </c>
      <c r="BT165" s="11" t="n">
        <v>0</v>
      </c>
      <c r="BU165" s="11" t="n">
        <v>0</v>
      </c>
      <c r="BV165" s="11" t="n">
        <v>0</v>
      </c>
      <c r="BW165" s="11" t="n">
        <v>0</v>
      </c>
      <c r="BX165" s="11" t="n">
        <v>0</v>
      </c>
      <c r="BY165" s="11" t="n">
        <v>0</v>
      </c>
      <c r="BZ165" s="11" t="n">
        <v>0</v>
      </c>
      <c r="CA165" s="11" t="n">
        <v>0</v>
      </c>
      <c r="CB165" s="11" t="n">
        <v>0</v>
      </c>
      <c r="CC165" s="11" t="n">
        <v>0</v>
      </c>
      <c r="CD165" s="11" t="n">
        <v>5</v>
      </c>
      <c r="CE165" s="11" t="n">
        <v>0</v>
      </c>
    </row>
    <row r="166">
      <c r="A166" s="14" t="inlineStr">
        <is>
          <t>2026-02-20</t>
        </is>
      </c>
      <c r="B166" s="8" t="n">
        <v>0</v>
      </c>
      <c r="C166" s="8" t="n">
        <v>0</v>
      </c>
      <c r="D166" s="8" t="n">
        <v>0</v>
      </c>
      <c r="E166" s="8" t="n">
        <v>0</v>
      </c>
      <c r="F166" s="8" t="n">
        <v>0</v>
      </c>
      <c r="G166" s="8" t="n">
        <v>0</v>
      </c>
      <c r="H166" s="8" t="n">
        <v>0</v>
      </c>
      <c r="I166" s="8" t="n">
        <v>4</v>
      </c>
      <c r="J166" s="8" t="n">
        <v>0</v>
      </c>
      <c r="K166" s="8" t="n">
        <v>0</v>
      </c>
      <c r="L166" s="8" t="n">
        <v>0</v>
      </c>
      <c r="M166" s="8" t="n">
        <v>0</v>
      </c>
      <c r="N166" s="8" t="n">
        <v>0</v>
      </c>
      <c r="O166" s="8" t="n">
        <v>0</v>
      </c>
      <c r="P166" s="8" t="n">
        <v>0</v>
      </c>
      <c r="Q166" s="8" t="n">
        <v>0</v>
      </c>
      <c r="R166" s="8" t="n">
        <v>0</v>
      </c>
      <c r="S166" s="8" t="n">
        <v>0</v>
      </c>
      <c r="T166" s="8" t="n">
        <v>17</v>
      </c>
      <c r="U166" s="8" t="n">
        <v>0</v>
      </c>
      <c r="V166" s="8" t="n">
        <v>0</v>
      </c>
      <c r="W166" s="8" t="n">
        <v>0</v>
      </c>
      <c r="X166" s="8" t="n">
        <v>0</v>
      </c>
      <c r="Y166" s="8" t="n">
        <v>0</v>
      </c>
      <c r="Z166" s="8" t="n">
        <v>0</v>
      </c>
      <c r="AA166" s="8" t="n">
        <v>0</v>
      </c>
      <c r="AB166" s="8" t="n">
        <v>0</v>
      </c>
      <c r="AC166" s="8" t="n">
        <v>10</v>
      </c>
      <c r="AD166" s="8" t="n">
        <v>0</v>
      </c>
      <c r="AE166" s="8" t="n">
        <v>0</v>
      </c>
      <c r="AF166" s="8" t="n">
        <v>0</v>
      </c>
      <c r="AG166" s="8" t="n">
        <v>0</v>
      </c>
      <c r="AH166" s="8" t="n">
        <v>8</v>
      </c>
      <c r="AI166" s="8" t="n">
        <v>0</v>
      </c>
      <c r="AJ166" s="8" t="n">
        <v>0</v>
      </c>
      <c r="AK166" s="8" t="n">
        <v>0</v>
      </c>
      <c r="AL166" s="8" t="n">
        <v>0</v>
      </c>
      <c r="AM166" s="8" t="n">
        <v>0</v>
      </c>
      <c r="AN166" s="8" t="n">
        <v>0</v>
      </c>
      <c r="AO166" s="8" t="n">
        <v>0</v>
      </c>
      <c r="AP166" s="8" t="n">
        <v>0</v>
      </c>
      <c r="AQ166" s="8" t="n">
        <v>0</v>
      </c>
      <c r="AR166" s="8" t="n">
        <v>0</v>
      </c>
      <c r="AS166" s="8" t="n">
        <v>0</v>
      </c>
      <c r="AT166" s="8" t="n">
        <v>0</v>
      </c>
      <c r="AU166" s="8" t="n">
        <v>0</v>
      </c>
      <c r="AV166" s="8" t="n">
        <v>0</v>
      </c>
      <c r="AW166" s="8" t="n">
        <v>0</v>
      </c>
      <c r="AX166" s="8" t="n">
        <v>0</v>
      </c>
      <c r="AY166" s="8" t="n">
        <v>0</v>
      </c>
      <c r="AZ166" s="8" t="n">
        <v>0</v>
      </c>
      <c r="BA166" s="8" t="n">
        <v>6.5</v>
      </c>
      <c r="BB166" s="8" t="n">
        <v>0</v>
      </c>
      <c r="BC166" s="8" t="n">
        <v>0</v>
      </c>
      <c r="BD166" s="8" t="n">
        <v>0</v>
      </c>
      <c r="BE166" s="8" t="n">
        <v>0</v>
      </c>
      <c r="BF166" s="8" t="n">
        <v>0</v>
      </c>
      <c r="BG166" s="8" t="n">
        <v>0</v>
      </c>
      <c r="BH166" s="8" t="n">
        <v>0</v>
      </c>
      <c r="BI166" s="8" t="n">
        <v>0</v>
      </c>
      <c r="BJ166" s="8" t="n">
        <v>0</v>
      </c>
      <c r="BK166" s="8" t="n">
        <v>0</v>
      </c>
      <c r="BL166" s="8" t="n">
        <v>0</v>
      </c>
      <c r="BM166" s="8" t="n">
        <v>0</v>
      </c>
      <c r="BN166" s="8" t="n">
        <v>15</v>
      </c>
      <c r="BO166" s="8" t="n">
        <v>0</v>
      </c>
      <c r="BP166" s="8" t="n">
        <v>250</v>
      </c>
      <c r="BQ166" s="8" t="n">
        <v>0</v>
      </c>
      <c r="BR166" s="8" t="n">
        <v>0</v>
      </c>
      <c r="BS166" s="8" t="n">
        <v>0</v>
      </c>
      <c r="BT166" s="8" t="n">
        <v>0</v>
      </c>
      <c r="BU166" s="8" t="n">
        <v>0</v>
      </c>
      <c r="BV166" s="8" t="n">
        <v>0</v>
      </c>
      <c r="BW166" s="8" t="n">
        <v>0</v>
      </c>
      <c r="BX166" s="8" t="n">
        <v>0</v>
      </c>
      <c r="BY166" s="8" t="n">
        <v>0</v>
      </c>
      <c r="BZ166" s="8" t="n">
        <v>0</v>
      </c>
      <c r="CA166" s="8" t="n">
        <v>0</v>
      </c>
      <c r="CB166" s="8" t="n">
        <v>0</v>
      </c>
      <c r="CC166" s="8" t="n">
        <v>0</v>
      </c>
      <c r="CD166" s="8" t="n">
        <v>5</v>
      </c>
      <c r="CE166" s="8" t="n">
        <v>0</v>
      </c>
    </row>
    <row r="167">
      <c r="A167" s="15" t="inlineStr">
        <is>
          <t>2026-02-23</t>
        </is>
      </c>
      <c r="B167" s="11" t="n">
        <v>0</v>
      </c>
      <c r="C167" s="11" t="n">
        <v>0</v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4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  <c r="P167" s="11" t="n">
        <v>0</v>
      </c>
      <c r="Q167" s="11" t="n">
        <v>0</v>
      </c>
      <c r="R167" s="11" t="n">
        <v>0</v>
      </c>
      <c r="S167" s="11" t="n">
        <v>0</v>
      </c>
      <c r="T167" s="11" t="n">
        <v>17</v>
      </c>
      <c r="U167" s="11" t="n">
        <v>0</v>
      </c>
      <c r="V167" s="11" t="n">
        <v>0</v>
      </c>
      <c r="W167" s="11" t="n">
        <v>0</v>
      </c>
      <c r="X167" s="11" t="n">
        <v>0</v>
      </c>
      <c r="Y167" s="11" t="n">
        <v>0</v>
      </c>
      <c r="Z167" s="11" t="n">
        <v>0</v>
      </c>
      <c r="AA167" s="11" t="n">
        <v>0</v>
      </c>
      <c r="AB167" s="11" t="n">
        <v>0</v>
      </c>
      <c r="AC167" s="11" t="n">
        <v>10</v>
      </c>
      <c r="AD167" s="11" t="n">
        <v>0</v>
      </c>
      <c r="AE167" s="11" t="n">
        <v>0</v>
      </c>
      <c r="AF167" s="11" t="n">
        <v>0</v>
      </c>
      <c r="AG167" s="11" t="n">
        <v>0</v>
      </c>
      <c r="AH167" s="11" t="n">
        <v>8</v>
      </c>
      <c r="AI167" s="11" t="n">
        <v>0</v>
      </c>
      <c r="AJ167" s="11" t="n">
        <v>0</v>
      </c>
      <c r="AK167" s="11" t="n">
        <v>0</v>
      </c>
      <c r="AL167" s="11" t="n">
        <v>0</v>
      </c>
      <c r="AM167" s="11" t="n">
        <v>0</v>
      </c>
      <c r="AN167" s="11" t="n">
        <v>0</v>
      </c>
      <c r="AO167" s="11" t="n">
        <v>0</v>
      </c>
      <c r="AP167" s="11" t="n">
        <v>0</v>
      </c>
      <c r="AQ167" s="11" t="n">
        <v>0</v>
      </c>
      <c r="AR167" s="11" t="n">
        <v>0</v>
      </c>
      <c r="AS167" s="11" t="n">
        <v>0</v>
      </c>
      <c r="AT167" s="11" t="n">
        <v>0</v>
      </c>
      <c r="AU167" s="11" t="n">
        <v>0</v>
      </c>
      <c r="AV167" s="11" t="n">
        <v>0</v>
      </c>
      <c r="AW167" s="11" t="n">
        <v>0</v>
      </c>
      <c r="AX167" s="11" t="n">
        <v>0</v>
      </c>
      <c r="AY167" s="11" t="n">
        <v>0</v>
      </c>
      <c r="AZ167" s="11" t="n">
        <v>0</v>
      </c>
      <c r="BA167" s="11" t="n">
        <v>0</v>
      </c>
      <c r="BB167" s="11" t="n">
        <v>0</v>
      </c>
      <c r="BC167" s="11" t="n">
        <v>0</v>
      </c>
      <c r="BD167" s="11" t="n">
        <v>0</v>
      </c>
      <c r="BE167" s="11" t="n">
        <v>0</v>
      </c>
      <c r="BF167" s="11" t="n">
        <v>0</v>
      </c>
      <c r="BG167" s="11" t="n">
        <v>0</v>
      </c>
      <c r="BH167" s="11" t="n">
        <v>0</v>
      </c>
      <c r="BI167" s="11" t="n">
        <v>0</v>
      </c>
      <c r="BJ167" s="11" t="n">
        <v>0</v>
      </c>
      <c r="BK167" s="11" t="n">
        <v>0</v>
      </c>
      <c r="BL167" s="11" t="n">
        <v>0</v>
      </c>
      <c r="BM167" s="11" t="n">
        <v>0</v>
      </c>
      <c r="BN167" s="11" t="n">
        <v>15</v>
      </c>
      <c r="BO167" s="11" t="n">
        <v>0</v>
      </c>
      <c r="BP167" s="11" t="n">
        <v>250</v>
      </c>
      <c r="BQ167" s="11" t="n">
        <v>0</v>
      </c>
      <c r="BR167" s="11" t="n">
        <v>0</v>
      </c>
      <c r="BS167" s="11" t="n">
        <v>0</v>
      </c>
      <c r="BT167" s="11" t="n">
        <v>0</v>
      </c>
      <c r="BU167" s="11" t="n">
        <v>0</v>
      </c>
      <c r="BV167" s="11" t="n">
        <v>0</v>
      </c>
      <c r="BW167" s="11" t="n">
        <v>0</v>
      </c>
      <c r="BX167" s="11" t="n">
        <v>0</v>
      </c>
      <c r="BY167" s="11" t="n">
        <v>0</v>
      </c>
      <c r="BZ167" s="11" t="n">
        <v>0</v>
      </c>
      <c r="CA167" s="11" t="n">
        <v>0</v>
      </c>
      <c r="CB167" s="11" t="n">
        <v>0</v>
      </c>
      <c r="CC167" s="11" t="n">
        <v>0</v>
      </c>
      <c r="CD167" s="11" t="n">
        <v>5</v>
      </c>
      <c r="CE167" s="11" t="n">
        <v>0</v>
      </c>
    </row>
    <row r="168">
      <c r="A168" s="14" t="inlineStr">
        <is>
          <t>2026-02-24</t>
        </is>
      </c>
      <c r="B168" s="8" t="n">
        <v>0</v>
      </c>
      <c r="C168" s="8" t="n">
        <v>0</v>
      </c>
      <c r="D168" s="8" t="n">
        <v>0</v>
      </c>
      <c r="E168" s="8" t="n">
        <v>0</v>
      </c>
      <c r="F168" s="8" t="n">
        <v>0</v>
      </c>
      <c r="G168" s="8" t="n">
        <v>0</v>
      </c>
      <c r="H168" s="8" t="n">
        <v>0</v>
      </c>
      <c r="I168" s="8" t="n">
        <v>4</v>
      </c>
      <c r="J168" s="8" t="n">
        <v>0</v>
      </c>
      <c r="K168" s="8" t="n">
        <v>0</v>
      </c>
      <c r="L168" s="8" t="n">
        <v>0</v>
      </c>
      <c r="M168" s="8" t="n">
        <v>0</v>
      </c>
      <c r="N168" s="8" t="n">
        <v>0</v>
      </c>
      <c r="O168" s="8" t="n">
        <v>0</v>
      </c>
      <c r="P168" s="8" t="n">
        <v>0</v>
      </c>
      <c r="Q168" s="8" t="n">
        <v>0</v>
      </c>
      <c r="R168" s="8" t="n">
        <v>0</v>
      </c>
      <c r="S168" s="8" t="n">
        <v>0</v>
      </c>
      <c r="T168" s="8" t="n">
        <v>17</v>
      </c>
      <c r="U168" s="8" t="n">
        <v>0</v>
      </c>
      <c r="V168" s="8" t="n">
        <v>0</v>
      </c>
      <c r="W168" s="8" t="n">
        <v>0</v>
      </c>
      <c r="X168" s="8" t="n">
        <v>0</v>
      </c>
      <c r="Y168" s="8" t="n">
        <v>0</v>
      </c>
      <c r="Z168" s="8" t="n">
        <v>0</v>
      </c>
      <c r="AA168" s="8" t="n">
        <v>0</v>
      </c>
      <c r="AB168" s="8" t="n">
        <v>0</v>
      </c>
      <c r="AC168" s="8" t="n">
        <v>10</v>
      </c>
      <c r="AD168" s="8" t="n">
        <v>0</v>
      </c>
      <c r="AE168" s="8" t="n">
        <v>0</v>
      </c>
      <c r="AF168" s="8" t="n">
        <v>0</v>
      </c>
      <c r="AG168" s="8" t="n">
        <v>0</v>
      </c>
      <c r="AH168" s="8" t="n">
        <v>8</v>
      </c>
      <c r="AI168" s="8" t="n">
        <v>0</v>
      </c>
      <c r="AJ168" s="8" t="n">
        <v>0</v>
      </c>
      <c r="AK168" s="8" t="n">
        <v>0</v>
      </c>
      <c r="AL168" s="8" t="n">
        <v>0</v>
      </c>
      <c r="AM168" s="8" t="n">
        <v>0</v>
      </c>
      <c r="AN168" s="8" t="n">
        <v>0</v>
      </c>
      <c r="AO168" s="8" t="n">
        <v>0</v>
      </c>
      <c r="AP168" s="8" t="n">
        <v>0</v>
      </c>
      <c r="AQ168" s="8" t="n">
        <v>0</v>
      </c>
      <c r="AR168" s="8" t="n">
        <v>0</v>
      </c>
      <c r="AS168" s="8" t="n">
        <v>0</v>
      </c>
      <c r="AT168" s="8" t="n">
        <v>0</v>
      </c>
      <c r="AU168" s="8" t="n">
        <v>0</v>
      </c>
      <c r="AV168" s="8" t="n">
        <v>0</v>
      </c>
      <c r="AW168" s="8" t="n">
        <v>0</v>
      </c>
      <c r="AX168" s="8" t="n">
        <v>0</v>
      </c>
      <c r="AY168" s="8" t="n">
        <v>0</v>
      </c>
      <c r="AZ168" s="8" t="n">
        <v>0</v>
      </c>
      <c r="BA168" s="8" t="n">
        <v>0</v>
      </c>
      <c r="BB168" s="8" t="n">
        <v>0</v>
      </c>
      <c r="BC168" s="8" t="n">
        <v>0</v>
      </c>
      <c r="BD168" s="8" t="n">
        <v>0</v>
      </c>
      <c r="BE168" s="8" t="n">
        <v>0</v>
      </c>
      <c r="BF168" s="8" t="n">
        <v>0</v>
      </c>
      <c r="BG168" s="8" t="n">
        <v>0</v>
      </c>
      <c r="BH168" s="8" t="n">
        <v>0</v>
      </c>
      <c r="BI168" s="8" t="n">
        <v>0</v>
      </c>
      <c r="BJ168" s="8" t="n">
        <v>0</v>
      </c>
      <c r="BK168" s="8" t="n">
        <v>0</v>
      </c>
      <c r="BL168" s="8" t="n">
        <v>0</v>
      </c>
      <c r="BM168" s="8" t="n">
        <v>0</v>
      </c>
      <c r="BN168" s="8" t="n">
        <v>15</v>
      </c>
      <c r="BO168" s="8" t="n">
        <v>0</v>
      </c>
      <c r="BP168" s="8" t="n">
        <v>0</v>
      </c>
      <c r="BQ168" s="8" t="n">
        <v>0</v>
      </c>
      <c r="BR168" s="8" t="n">
        <v>0</v>
      </c>
      <c r="BS168" s="8" t="n">
        <v>0</v>
      </c>
      <c r="BT168" s="8" t="n">
        <v>0</v>
      </c>
      <c r="BU168" s="8" t="n">
        <v>0</v>
      </c>
      <c r="BV168" s="8" t="n">
        <v>0</v>
      </c>
      <c r="BW168" s="8" t="n">
        <v>0</v>
      </c>
      <c r="BX168" s="8" t="n">
        <v>0</v>
      </c>
      <c r="BY168" s="8" t="n">
        <v>0</v>
      </c>
      <c r="BZ168" s="8" t="n">
        <v>0</v>
      </c>
      <c r="CA168" s="8" t="n">
        <v>0</v>
      </c>
      <c r="CB168" s="8" t="n">
        <v>0</v>
      </c>
      <c r="CC168" s="8" t="n">
        <v>0</v>
      </c>
      <c r="CD168" s="8" t="n">
        <v>5</v>
      </c>
      <c r="CE168" s="8" t="n">
        <v>0</v>
      </c>
    </row>
    <row r="169">
      <c r="A169" s="15" t="inlineStr">
        <is>
          <t>2026-02-25</t>
        </is>
      </c>
      <c r="B169" s="11" t="n">
        <v>0</v>
      </c>
      <c r="C169" s="11" t="n">
        <v>0</v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4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  <c r="P169" s="11" t="n">
        <v>0</v>
      </c>
      <c r="Q169" s="11" t="n">
        <v>0</v>
      </c>
      <c r="R169" s="11" t="n">
        <v>0</v>
      </c>
      <c r="S169" s="11" t="n">
        <v>0</v>
      </c>
      <c r="T169" s="11" t="n">
        <v>17</v>
      </c>
      <c r="U169" s="11" t="n">
        <v>0</v>
      </c>
      <c r="V169" s="11" t="n">
        <v>0</v>
      </c>
      <c r="W169" s="11" t="n">
        <v>0</v>
      </c>
      <c r="X169" s="11" t="n">
        <v>0</v>
      </c>
      <c r="Y169" s="11" t="n">
        <v>0</v>
      </c>
      <c r="Z169" s="11" t="n">
        <v>0</v>
      </c>
      <c r="AA169" s="11" t="n">
        <v>0</v>
      </c>
      <c r="AB169" s="11" t="n">
        <v>0</v>
      </c>
      <c r="AC169" s="11" t="n">
        <v>10</v>
      </c>
      <c r="AD169" s="11" t="n">
        <v>0</v>
      </c>
      <c r="AE169" s="11" t="n">
        <v>0</v>
      </c>
      <c r="AF169" s="11" t="n">
        <v>0</v>
      </c>
      <c r="AG169" s="11" t="n">
        <v>0</v>
      </c>
      <c r="AH169" s="11" t="n">
        <v>8</v>
      </c>
      <c r="AI169" s="11" t="n">
        <v>0</v>
      </c>
      <c r="AJ169" s="11" t="n">
        <v>0</v>
      </c>
      <c r="AK169" s="11" t="n">
        <v>0</v>
      </c>
      <c r="AL169" s="11" t="n">
        <v>0</v>
      </c>
      <c r="AM169" s="11" t="n">
        <v>0</v>
      </c>
      <c r="AN169" s="11" t="n">
        <v>0</v>
      </c>
      <c r="AO169" s="11" t="n">
        <v>0</v>
      </c>
      <c r="AP169" s="11" t="n">
        <v>0</v>
      </c>
      <c r="AQ169" s="11" t="n">
        <v>0</v>
      </c>
      <c r="AR169" s="11" t="n">
        <v>0</v>
      </c>
      <c r="AS169" s="11" t="n">
        <v>0</v>
      </c>
      <c r="AT169" s="11" t="n">
        <v>0</v>
      </c>
      <c r="AU169" s="11" t="n">
        <v>0</v>
      </c>
      <c r="AV169" s="11" t="n">
        <v>0</v>
      </c>
      <c r="AW169" s="11" t="n">
        <v>0</v>
      </c>
      <c r="AX169" s="11" t="n">
        <v>0</v>
      </c>
      <c r="AY169" s="11" t="n">
        <v>0</v>
      </c>
      <c r="AZ169" s="11" t="n">
        <v>0</v>
      </c>
      <c r="BA169" s="11" t="n">
        <v>0</v>
      </c>
      <c r="BB169" s="11" t="n">
        <v>0</v>
      </c>
      <c r="BC169" s="11" t="n">
        <v>0</v>
      </c>
      <c r="BD169" s="11" t="n">
        <v>0</v>
      </c>
      <c r="BE169" s="11" t="n">
        <v>0</v>
      </c>
      <c r="BF169" s="11" t="n">
        <v>0</v>
      </c>
      <c r="BG169" s="11" t="n">
        <v>0</v>
      </c>
      <c r="BH169" s="11" t="n">
        <v>0</v>
      </c>
      <c r="BI169" s="11" t="n">
        <v>0</v>
      </c>
      <c r="BJ169" s="11" t="n">
        <v>0</v>
      </c>
      <c r="BK169" s="11" t="n">
        <v>0</v>
      </c>
      <c r="BL169" s="11" t="n">
        <v>0</v>
      </c>
      <c r="BM169" s="11" t="n">
        <v>0</v>
      </c>
      <c r="BN169" s="11" t="n">
        <v>15</v>
      </c>
      <c r="BO169" s="11" t="n">
        <v>0</v>
      </c>
      <c r="BP169" s="11" t="n">
        <v>0</v>
      </c>
      <c r="BQ169" s="11" t="n">
        <v>0</v>
      </c>
      <c r="BR169" s="11" t="n">
        <v>0</v>
      </c>
      <c r="BS169" s="11" t="n">
        <v>0</v>
      </c>
      <c r="BT169" s="11" t="n">
        <v>0</v>
      </c>
      <c r="BU169" s="11" t="n">
        <v>0</v>
      </c>
      <c r="BV169" s="11" t="n">
        <v>0</v>
      </c>
      <c r="BW169" s="11" t="n">
        <v>0</v>
      </c>
      <c r="BX169" s="11" t="n">
        <v>0</v>
      </c>
      <c r="BY169" s="11" t="n">
        <v>0</v>
      </c>
      <c r="BZ169" s="11" t="n">
        <v>0</v>
      </c>
      <c r="CA169" s="11" t="n">
        <v>0</v>
      </c>
      <c r="CB169" s="11" t="n">
        <v>0</v>
      </c>
      <c r="CC169" s="11" t="n">
        <v>0</v>
      </c>
      <c r="CD169" s="11" t="n">
        <v>5</v>
      </c>
      <c r="CE169" s="11" t="n">
        <v>0</v>
      </c>
    </row>
    <row r="170">
      <c r="A170" s="14" t="inlineStr">
        <is>
          <t>2026-02-26</t>
        </is>
      </c>
      <c r="B170" s="8" t="n">
        <v>0</v>
      </c>
      <c r="C170" s="8" t="n">
        <v>0</v>
      </c>
      <c r="D170" s="8" t="n">
        <v>0</v>
      </c>
      <c r="E170" s="8" t="n">
        <v>0</v>
      </c>
      <c r="F170" s="8" t="n">
        <v>0</v>
      </c>
      <c r="G170" s="8" t="n">
        <v>0</v>
      </c>
      <c r="H170" s="8" t="n">
        <v>0</v>
      </c>
      <c r="I170" s="8" t="n">
        <v>4</v>
      </c>
      <c r="J170" s="8" t="n">
        <v>0</v>
      </c>
      <c r="K170" s="8" t="n">
        <v>0</v>
      </c>
      <c r="L170" s="8" t="n">
        <v>0</v>
      </c>
      <c r="M170" s="8" t="n">
        <v>0</v>
      </c>
      <c r="N170" s="8" t="n">
        <v>0</v>
      </c>
      <c r="O170" s="8" t="n">
        <v>0</v>
      </c>
      <c r="P170" s="8" t="n">
        <v>0</v>
      </c>
      <c r="Q170" s="8" t="n">
        <v>0</v>
      </c>
      <c r="R170" s="8" t="n">
        <v>0</v>
      </c>
      <c r="S170" s="8" t="n">
        <v>0</v>
      </c>
      <c r="T170" s="8" t="n">
        <v>17</v>
      </c>
      <c r="U170" s="8" t="n">
        <v>0</v>
      </c>
      <c r="V170" s="8" t="n">
        <v>0</v>
      </c>
      <c r="W170" s="8" t="n">
        <v>0</v>
      </c>
      <c r="X170" s="8" t="n">
        <v>0</v>
      </c>
      <c r="Y170" s="8" t="n">
        <v>0</v>
      </c>
      <c r="Z170" s="8" t="n">
        <v>0</v>
      </c>
      <c r="AA170" s="8" t="n">
        <v>0</v>
      </c>
      <c r="AB170" s="8" t="n">
        <v>0</v>
      </c>
      <c r="AC170" s="8" t="n">
        <v>10</v>
      </c>
      <c r="AD170" s="8" t="n">
        <v>0</v>
      </c>
      <c r="AE170" s="8" t="n">
        <v>0</v>
      </c>
      <c r="AF170" s="8" t="n">
        <v>0</v>
      </c>
      <c r="AG170" s="8" t="n">
        <v>0</v>
      </c>
      <c r="AH170" s="8" t="n">
        <v>8</v>
      </c>
      <c r="AI170" s="8" t="n">
        <v>0</v>
      </c>
      <c r="AJ170" s="8" t="n">
        <v>0</v>
      </c>
      <c r="AK170" s="8" t="n">
        <v>0</v>
      </c>
      <c r="AL170" s="8" t="n">
        <v>0</v>
      </c>
      <c r="AM170" s="8" t="n">
        <v>0</v>
      </c>
      <c r="AN170" s="8" t="n">
        <v>0</v>
      </c>
      <c r="AO170" s="8" t="n">
        <v>0</v>
      </c>
      <c r="AP170" s="8" t="n">
        <v>0</v>
      </c>
      <c r="AQ170" s="8" t="n">
        <v>0</v>
      </c>
      <c r="AR170" s="8" t="n">
        <v>0</v>
      </c>
      <c r="AS170" s="8" t="n">
        <v>0</v>
      </c>
      <c r="AT170" s="8" t="n">
        <v>0</v>
      </c>
      <c r="AU170" s="8" t="n">
        <v>0</v>
      </c>
      <c r="AV170" s="8" t="n">
        <v>0</v>
      </c>
      <c r="AW170" s="8" t="n">
        <v>0</v>
      </c>
      <c r="AX170" s="8" t="n">
        <v>0</v>
      </c>
      <c r="AY170" s="8" t="n">
        <v>0</v>
      </c>
      <c r="AZ170" s="8" t="n">
        <v>0</v>
      </c>
      <c r="BA170" s="8" t="n">
        <v>0</v>
      </c>
      <c r="BB170" s="8" t="n">
        <v>0</v>
      </c>
      <c r="BC170" s="8" t="n">
        <v>0</v>
      </c>
      <c r="BD170" s="8" t="n">
        <v>0</v>
      </c>
      <c r="BE170" s="8" t="n">
        <v>0</v>
      </c>
      <c r="BF170" s="8" t="n">
        <v>0</v>
      </c>
      <c r="BG170" s="8" t="n">
        <v>0</v>
      </c>
      <c r="BH170" s="8" t="n">
        <v>0</v>
      </c>
      <c r="BI170" s="8" t="n">
        <v>0</v>
      </c>
      <c r="BJ170" s="8" t="n">
        <v>0</v>
      </c>
      <c r="BK170" s="8" t="n">
        <v>0</v>
      </c>
      <c r="BL170" s="8" t="n">
        <v>0</v>
      </c>
      <c r="BM170" s="8" t="n">
        <v>0</v>
      </c>
      <c r="BN170" s="8" t="n">
        <v>15</v>
      </c>
      <c r="BO170" s="8" t="n">
        <v>0</v>
      </c>
      <c r="BP170" s="8" t="n">
        <v>0</v>
      </c>
      <c r="BQ170" s="8" t="n">
        <v>0</v>
      </c>
      <c r="BR170" s="8" t="n">
        <v>0</v>
      </c>
      <c r="BS170" s="8" t="n">
        <v>0</v>
      </c>
      <c r="BT170" s="8" t="n">
        <v>0</v>
      </c>
      <c r="BU170" s="8" t="n">
        <v>0</v>
      </c>
      <c r="BV170" s="8" t="n">
        <v>0</v>
      </c>
      <c r="BW170" s="8" t="n">
        <v>0</v>
      </c>
      <c r="BX170" s="8" t="n">
        <v>0</v>
      </c>
      <c r="BY170" s="8" t="n">
        <v>0</v>
      </c>
      <c r="BZ170" s="8" t="n">
        <v>0</v>
      </c>
      <c r="CA170" s="8" t="n">
        <v>0</v>
      </c>
      <c r="CB170" s="8" t="n">
        <v>0</v>
      </c>
      <c r="CC170" s="8" t="n">
        <v>0</v>
      </c>
      <c r="CD170" s="8" t="n">
        <v>5</v>
      </c>
      <c r="CE170" s="8" t="n">
        <v>0</v>
      </c>
    </row>
    <row r="171">
      <c r="A171" s="15" t="inlineStr">
        <is>
          <t>2026-02-27</t>
        </is>
      </c>
      <c r="B171" s="11" t="n">
        <v>0</v>
      </c>
      <c r="C171" s="11" t="n">
        <v>0</v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v>4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  <c r="P171" s="11" t="n">
        <v>0</v>
      </c>
      <c r="Q171" s="11" t="n">
        <v>0</v>
      </c>
      <c r="R171" s="11" t="n">
        <v>0</v>
      </c>
      <c r="S171" s="11" t="n">
        <v>0</v>
      </c>
      <c r="T171" s="11" t="n">
        <v>17</v>
      </c>
      <c r="U171" s="11" t="n">
        <v>0</v>
      </c>
      <c r="V171" s="11" t="n">
        <v>0</v>
      </c>
      <c r="W171" s="11" t="n">
        <v>0</v>
      </c>
      <c r="X171" s="11" t="n">
        <v>0</v>
      </c>
      <c r="Y171" s="11" t="n">
        <v>0</v>
      </c>
      <c r="Z171" s="11" t="n">
        <v>0</v>
      </c>
      <c r="AA171" s="11" t="n">
        <v>0</v>
      </c>
      <c r="AB171" s="11" t="n">
        <v>0</v>
      </c>
      <c r="AC171" s="11" t="n">
        <v>10</v>
      </c>
      <c r="AD171" s="11" t="n">
        <v>0</v>
      </c>
      <c r="AE171" s="11" t="n">
        <v>0</v>
      </c>
      <c r="AF171" s="11" t="n">
        <v>0</v>
      </c>
      <c r="AG171" s="11" t="n">
        <v>0</v>
      </c>
      <c r="AH171" s="11" t="n">
        <v>8</v>
      </c>
      <c r="AI171" s="11" t="n">
        <v>0</v>
      </c>
      <c r="AJ171" s="11" t="n">
        <v>0</v>
      </c>
      <c r="AK171" s="11" t="n">
        <v>0</v>
      </c>
      <c r="AL171" s="11" t="n">
        <v>0</v>
      </c>
      <c r="AM171" s="11" t="n">
        <v>0</v>
      </c>
      <c r="AN171" s="11" t="n">
        <v>0</v>
      </c>
      <c r="AO171" s="11" t="n">
        <v>0</v>
      </c>
      <c r="AP171" s="11" t="n">
        <v>0</v>
      </c>
      <c r="AQ171" s="11" t="n">
        <v>0</v>
      </c>
      <c r="AR171" s="11" t="n">
        <v>0</v>
      </c>
      <c r="AS171" s="11" t="n">
        <v>0</v>
      </c>
      <c r="AT171" s="11" t="n">
        <v>0</v>
      </c>
      <c r="AU171" s="11" t="n">
        <v>0</v>
      </c>
      <c r="AV171" s="11" t="n">
        <v>0</v>
      </c>
      <c r="AW171" s="11" t="n">
        <v>0</v>
      </c>
      <c r="AX171" s="11" t="n">
        <v>0</v>
      </c>
      <c r="AY171" s="11" t="n">
        <v>0</v>
      </c>
      <c r="AZ171" s="11" t="n">
        <v>0</v>
      </c>
      <c r="BA171" s="11" t="n">
        <v>0</v>
      </c>
      <c r="BB171" s="11" t="n">
        <v>0</v>
      </c>
      <c r="BC171" s="11" t="n">
        <v>0</v>
      </c>
      <c r="BD171" s="11" t="n">
        <v>0</v>
      </c>
      <c r="BE171" s="11" t="n">
        <v>0</v>
      </c>
      <c r="BF171" s="11" t="n">
        <v>0</v>
      </c>
      <c r="BG171" s="11" t="n">
        <v>0</v>
      </c>
      <c r="BH171" s="11" t="n">
        <v>0</v>
      </c>
      <c r="BI171" s="11" t="n">
        <v>0</v>
      </c>
      <c r="BJ171" s="11" t="n">
        <v>0</v>
      </c>
      <c r="BK171" s="11" t="n">
        <v>0</v>
      </c>
      <c r="BL171" s="11" t="n">
        <v>0</v>
      </c>
      <c r="BM171" s="11" t="n">
        <v>0</v>
      </c>
      <c r="BN171" s="11" t="n">
        <v>15</v>
      </c>
      <c r="BO171" s="11" t="n">
        <v>0</v>
      </c>
      <c r="BP171" s="11" t="n">
        <v>0</v>
      </c>
      <c r="BQ171" s="11" t="n">
        <v>0</v>
      </c>
      <c r="BR171" s="11" t="n">
        <v>0</v>
      </c>
      <c r="BS171" s="11" t="n">
        <v>0</v>
      </c>
      <c r="BT171" s="11" t="n">
        <v>0</v>
      </c>
      <c r="BU171" s="11" t="n">
        <v>0</v>
      </c>
      <c r="BV171" s="11" t="n">
        <v>0</v>
      </c>
      <c r="BW171" s="11" t="n">
        <v>0</v>
      </c>
      <c r="BX171" s="11" t="n">
        <v>0</v>
      </c>
      <c r="BY171" s="11" t="n">
        <v>0</v>
      </c>
      <c r="BZ171" s="11" t="n">
        <v>0</v>
      </c>
      <c r="CA171" s="11" t="n">
        <v>0</v>
      </c>
      <c r="CB171" s="11" t="n">
        <v>0</v>
      </c>
      <c r="CC171" s="11" t="n">
        <v>0</v>
      </c>
      <c r="CD171" s="11" t="n">
        <v>5</v>
      </c>
      <c r="CE171" s="11" t="n">
        <v>0</v>
      </c>
    </row>
    <row r="172">
      <c r="A172" s="14" t="inlineStr">
        <is>
          <t>2026-03-02</t>
        </is>
      </c>
      <c r="B172" s="8" t="n">
        <v>0</v>
      </c>
      <c r="C172" s="8" t="n">
        <v>0</v>
      </c>
      <c r="D172" s="8" t="n">
        <v>0</v>
      </c>
      <c r="E172" s="8" t="n">
        <v>0</v>
      </c>
      <c r="F172" s="8" t="n">
        <v>0</v>
      </c>
      <c r="G172" s="8" t="n">
        <v>0</v>
      </c>
      <c r="H172" s="8" t="n">
        <v>0</v>
      </c>
      <c r="I172" s="8" t="n">
        <v>0</v>
      </c>
      <c r="J172" s="8" t="n">
        <v>0</v>
      </c>
      <c r="K172" s="8" t="n">
        <v>0</v>
      </c>
      <c r="L172" s="8" t="n">
        <v>0</v>
      </c>
      <c r="M172" s="8" t="n">
        <v>0</v>
      </c>
      <c r="N172" s="8" t="n">
        <v>0</v>
      </c>
      <c r="O172" s="8" t="n">
        <v>0</v>
      </c>
      <c r="P172" s="8" t="n">
        <v>0</v>
      </c>
      <c r="Q172" s="8" t="n">
        <v>0</v>
      </c>
      <c r="R172" s="8" t="n">
        <v>0</v>
      </c>
      <c r="S172" s="8" t="n">
        <v>0</v>
      </c>
      <c r="T172" s="8" t="n">
        <v>17</v>
      </c>
      <c r="U172" s="8" t="n">
        <v>0</v>
      </c>
      <c r="V172" s="8" t="n">
        <v>0</v>
      </c>
      <c r="W172" s="8" t="n">
        <v>0</v>
      </c>
      <c r="X172" s="8" t="n">
        <v>4</v>
      </c>
      <c r="Y172" s="8" t="n">
        <v>0</v>
      </c>
      <c r="Z172" s="8" t="n">
        <v>0</v>
      </c>
      <c r="AA172" s="8" t="n">
        <v>0</v>
      </c>
      <c r="AB172" s="8" t="n">
        <v>0</v>
      </c>
      <c r="AC172" s="8" t="n">
        <v>10</v>
      </c>
      <c r="AD172" s="8" t="n">
        <v>10</v>
      </c>
      <c r="AE172" s="8" t="n">
        <v>0</v>
      </c>
      <c r="AF172" s="8" t="n">
        <v>0</v>
      </c>
      <c r="AG172" s="8" t="n">
        <v>0</v>
      </c>
      <c r="AH172" s="8" t="n">
        <v>8</v>
      </c>
      <c r="AI172" s="8" t="n">
        <v>0</v>
      </c>
      <c r="AJ172" s="8" t="n">
        <v>0</v>
      </c>
      <c r="AK172" s="8" t="n">
        <v>0</v>
      </c>
      <c r="AL172" s="8" t="n">
        <v>0</v>
      </c>
      <c r="AM172" s="8" t="n">
        <v>0</v>
      </c>
      <c r="AN172" s="8" t="n">
        <v>0</v>
      </c>
      <c r="AO172" s="8" t="n">
        <v>0</v>
      </c>
      <c r="AP172" s="8" t="n">
        <v>0</v>
      </c>
      <c r="AQ172" s="8" t="n">
        <v>0</v>
      </c>
      <c r="AR172" s="8" t="n">
        <v>0</v>
      </c>
      <c r="AS172" s="8" t="n">
        <v>0</v>
      </c>
      <c r="AT172" s="8" t="n">
        <v>0</v>
      </c>
      <c r="AU172" s="8" t="n">
        <v>0</v>
      </c>
      <c r="AV172" s="8" t="n">
        <v>0</v>
      </c>
      <c r="AW172" s="8" t="n">
        <v>0</v>
      </c>
      <c r="AX172" s="8" t="n">
        <v>0</v>
      </c>
      <c r="AY172" s="8" t="n">
        <v>0</v>
      </c>
      <c r="AZ172" s="8" t="n">
        <v>0</v>
      </c>
      <c r="BA172" s="8" t="n">
        <v>0</v>
      </c>
      <c r="BB172" s="8" t="n">
        <v>0</v>
      </c>
      <c r="BC172" s="8" t="n">
        <v>0</v>
      </c>
      <c r="BD172" s="8" t="n">
        <v>0</v>
      </c>
      <c r="BE172" s="8" t="n">
        <v>0</v>
      </c>
      <c r="BF172" s="8" t="n">
        <v>0</v>
      </c>
      <c r="BG172" s="8" t="n">
        <v>0</v>
      </c>
      <c r="BH172" s="8" t="n">
        <v>0</v>
      </c>
      <c r="BI172" s="8" t="n">
        <v>0</v>
      </c>
      <c r="BJ172" s="8" t="n">
        <v>0</v>
      </c>
      <c r="BK172" s="8" t="n">
        <v>0</v>
      </c>
      <c r="BL172" s="8" t="n">
        <v>0</v>
      </c>
      <c r="BM172" s="8" t="n">
        <v>0</v>
      </c>
      <c r="BN172" s="8" t="n">
        <v>15</v>
      </c>
      <c r="BO172" s="8" t="n">
        <v>0</v>
      </c>
      <c r="BP172" s="8" t="n">
        <v>0</v>
      </c>
      <c r="BQ172" s="8" t="n">
        <v>0</v>
      </c>
      <c r="BR172" s="8" t="n">
        <v>0</v>
      </c>
      <c r="BS172" s="8" t="n">
        <v>0</v>
      </c>
      <c r="BT172" s="8" t="n">
        <v>0</v>
      </c>
      <c r="BU172" s="8" t="n">
        <v>0</v>
      </c>
      <c r="BV172" s="8" t="n">
        <v>0</v>
      </c>
      <c r="BW172" s="8" t="n">
        <v>0</v>
      </c>
      <c r="BX172" s="8" t="n">
        <v>0</v>
      </c>
      <c r="BY172" s="8" t="n">
        <v>0</v>
      </c>
      <c r="BZ172" s="8" t="n">
        <v>0</v>
      </c>
      <c r="CA172" s="8" t="n">
        <v>0</v>
      </c>
      <c r="CB172" s="8" t="n">
        <v>0</v>
      </c>
      <c r="CC172" s="8" t="n">
        <v>0</v>
      </c>
      <c r="CD172" s="8" t="n">
        <v>5</v>
      </c>
      <c r="CE172" s="8" t="n">
        <v>0</v>
      </c>
    </row>
    <row r="173">
      <c r="A173" s="15" t="inlineStr">
        <is>
          <t>2026-03-03</t>
        </is>
      </c>
      <c r="B173" s="11" t="n">
        <v>0</v>
      </c>
      <c r="C173" s="11" t="n">
        <v>0</v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20</v>
      </c>
      <c r="M173" s="11" t="n">
        <v>0</v>
      </c>
      <c r="N173" s="11" t="n">
        <v>0</v>
      </c>
      <c r="O173" s="11" t="n">
        <v>0</v>
      </c>
      <c r="P173" s="11" t="n">
        <v>0</v>
      </c>
      <c r="Q173" s="11" t="n">
        <v>0</v>
      </c>
      <c r="R173" s="11" t="n">
        <v>0</v>
      </c>
      <c r="S173" s="11" t="n">
        <v>0</v>
      </c>
      <c r="T173" s="11" t="n">
        <v>0</v>
      </c>
      <c r="U173" s="11" t="n">
        <v>0</v>
      </c>
      <c r="V173" s="11" t="n">
        <v>0</v>
      </c>
      <c r="W173" s="11" t="n">
        <v>0</v>
      </c>
      <c r="X173" s="11" t="n">
        <v>0</v>
      </c>
      <c r="Y173" s="11" t="n">
        <v>0</v>
      </c>
      <c r="Z173" s="11" t="n">
        <v>0</v>
      </c>
      <c r="AA173" s="11" t="n">
        <v>0</v>
      </c>
      <c r="AB173" s="11" t="n">
        <v>0</v>
      </c>
      <c r="AC173" s="11" t="n">
        <v>0</v>
      </c>
      <c r="AD173" s="11" t="n">
        <v>10</v>
      </c>
      <c r="AE173" s="11" t="n">
        <v>0</v>
      </c>
      <c r="AF173" s="11" t="n">
        <v>0</v>
      </c>
      <c r="AG173" s="11" t="n">
        <v>0</v>
      </c>
      <c r="AH173" s="11" t="n">
        <v>0</v>
      </c>
      <c r="AI173" s="11" t="n">
        <v>0</v>
      </c>
      <c r="AJ173" s="11" t="n">
        <v>0</v>
      </c>
      <c r="AK173" s="11" t="n">
        <v>0</v>
      </c>
      <c r="AL173" s="11" t="n">
        <v>0</v>
      </c>
      <c r="AM173" s="11" t="n">
        <v>0</v>
      </c>
      <c r="AN173" s="11" t="n">
        <v>0</v>
      </c>
      <c r="AO173" s="11" t="n">
        <v>0</v>
      </c>
      <c r="AP173" s="11" t="n">
        <v>0</v>
      </c>
      <c r="AQ173" s="11" t="n">
        <v>0</v>
      </c>
      <c r="AR173" s="11" t="n">
        <v>0</v>
      </c>
      <c r="AS173" s="11" t="n">
        <v>0</v>
      </c>
      <c r="AT173" s="11" t="n">
        <v>0</v>
      </c>
      <c r="AU173" s="11" t="n">
        <v>0</v>
      </c>
      <c r="AV173" s="11" t="n">
        <v>0</v>
      </c>
      <c r="AW173" s="11" t="n">
        <v>0</v>
      </c>
      <c r="AX173" s="11" t="n">
        <v>0</v>
      </c>
      <c r="AY173" s="11" t="n">
        <v>0</v>
      </c>
      <c r="AZ173" s="11" t="n">
        <v>0</v>
      </c>
      <c r="BA173" s="11" t="n">
        <v>0</v>
      </c>
      <c r="BB173" s="11" t="n">
        <v>0</v>
      </c>
      <c r="BC173" s="11" t="n">
        <v>0</v>
      </c>
      <c r="BD173" s="11" t="n">
        <v>0</v>
      </c>
      <c r="BE173" s="11" t="n">
        <v>0</v>
      </c>
      <c r="BF173" s="11" t="n">
        <v>0</v>
      </c>
      <c r="BG173" s="11" t="n">
        <v>0</v>
      </c>
      <c r="BH173" s="11" t="n">
        <v>0</v>
      </c>
      <c r="BI173" s="11" t="n">
        <v>0</v>
      </c>
      <c r="BJ173" s="11" t="n">
        <v>0</v>
      </c>
      <c r="BK173" s="11" t="n">
        <v>0</v>
      </c>
      <c r="BL173" s="11" t="n">
        <v>0</v>
      </c>
      <c r="BM173" s="11" t="n">
        <v>0</v>
      </c>
      <c r="BN173" s="11" t="n">
        <v>0</v>
      </c>
      <c r="BO173" s="11" t="n">
        <v>0</v>
      </c>
      <c r="BP173" s="11" t="n">
        <v>0</v>
      </c>
      <c r="BQ173" s="11" t="n">
        <v>0</v>
      </c>
      <c r="BR173" s="11" t="n">
        <v>0</v>
      </c>
      <c r="BS173" s="11" t="n">
        <v>0</v>
      </c>
      <c r="BT173" s="11" t="n">
        <v>0</v>
      </c>
      <c r="BU173" s="11" t="n">
        <v>0</v>
      </c>
      <c r="BV173" s="11" t="n">
        <v>0</v>
      </c>
      <c r="BW173" s="11" t="n">
        <v>0</v>
      </c>
      <c r="BX173" s="11" t="n">
        <v>0</v>
      </c>
      <c r="BY173" s="11" t="n">
        <v>0</v>
      </c>
      <c r="BZ173" s="11" t="n">
        <v>0</v>
      </c>
      <c r="CA173" s="11" t="n">
        <v>0</v>
      </c>
      <c r="CB173" s="11" t="n">
        <v>0</v>
      </c>
      <c r="CC173" s="11" t="n">
        <v>0</v>
      </c>
      <c r="CD173" s="11" t="n">
        <v>0</v>
      </c>
      <c r="CE173" s="11" t="n">
        <v>0</v>
      </c>
    </row>
    <row r="174">
      <c r="A174" s="14" t="inlineStr">
        <is>
          <t>2026-03-04</t>
        </is>
      </c>
      <c r="B174" s="8" t="n">
        <v>0</v>
      </c>
      <c r="C174" s="8" t="n">
        <v>0</v>
      </c>
      <c r="D174" s="8" t="n">
        <v>0</v>
      </c>
      <c r="E174" s="8" t="n">
        <v>0</v>
      </c>
      <c r="F174" s="8" t="n">
        <v>0</v>
      </c>
      <c r="G174" s="8" t="n">
        <v>0</v>
      </c>
      <c r="H174" s="8" t="n">
        <v>0</v>
      </c>
      <c r="I174" s="8" t="n">
        <v>0</v>
      </c>
      <c r="J174" s="8" t="n">
        <v>0</v>
      </c>
      <c r="K174" s="8" t="n">
        <v>0</v>
      </c>
      <c r="L174" s="8" t="n">
        <v>20</v>
      </c>
      <c r="M174" s="8" t="n">
        <v>0</v>
      </c>
      <c r="N174" s="8" t="n">
        <v>0</v>
      </c>
      <c r="O174" s="8" t="n">
        <v>0</v>
      </c>
      <c r="P174" s="8" t="n">
        <v>0</v>
      </c>
      <c r="Q174" s="8" t="n">
        <v>0</v>
      </c>
      <c r="R174" s="8" t="n">
        <v>0</v>
      </c>
      <c r="S174" s="8" t="n">
        <v>0</v>
      </c>
      <c r="T174" s="8" t="n">
        <v>0</v>
      </c>
      <c r="U174" s="8" t="n">
        <v>0</v>
      </c>
      <c r="V174" s="8" t="n">
        <v>0</v>
      </c>
      <c r="W174" s="8" t="n">
        <v>0</v>
      </c>
      <c r="X174" s="8" t="n">
        <v>0</v>
      </c>
      <c r="Y174" s="8" t="n">
        <v>0</v>
      </c>
      <c r="Z174" s="8" t="n">
        <v>0</v>
      </c>
      <c r="AA174" s="8" t="n">
        <v>0</v>
      </c>
      <c r="AB174" s="8" t="n">
        <v>0</v>
      </c>
      <c r="AC174" s="8" t="n">
        <v>0</v>
      </c>
      <c r="AD174" s="8" t="n">
        <v>10</v>
      </c>
      <c r="AE174" s="8" t="n">
        <v>0</v>
      </c>
      <c r="AF174" s="8" t="n">
        <v>0</v>
      </c>
      <c r="AG174" s="8" t="n">
        <v>0</v>
      </c>
      <c r="AH174" s="8" t="n">
        <v>0</v>
      </c>
      <c r="AI174" s="8" t="n">
        <v>0</v>
      </c>
      <c r="AJ174" s="8" t="n">
        <v>0</v>
      </c>
      <c r="AK174" s="8" t="n">
        <v>0</v>
      </c>
      <c r="AL174" s="8" t="n">
        <v>0</v>
      </c>
      <c r="AM174" s="8" t="n">
        <v>0</v>
      </c>
      <c r="AN174" s="8" t="n">
        <v>0</v>
      </c>
      <c r="AO174" s="8" t="n">
        <v>0</v>
      </c>
      <c r="AP174" s="8" t="n">
        <v>0</v>
      </c>
      <c r="AQ174" s="8" t="n">
        <v>0</v>
      </c>
      <c r="AR174" s="8" t="n">
        <v>0</v>
      </c>
      <c r="AS174" s="8" t="n">
        <v>0</v>
      </c>
      <c r="AT174" s="8" t="n">
        <v>0</v>
      </c>
      <c r="AU174" s="8" t="n">
        <v>0</v>
      </c>
      <c r="AV174" s="8" t="n">
        <v>0</v>
      </c>
      <c r="AW174" s="8" t="n">
        <v>0</v>
      </c>
      <c r="AX174" s="8" t="n">
        <v>0</v>
      </c>
      <c r="AY174" s="8" t="n">
        <v>0</v>
      </c>
      <c r="AZ174" s="8" t="n">
        <v>0</v>
      </c>
      <c r="BA174" s="8" t="n">
        <v>0</v>
      </c>
      <c r="BB174" s="8" t="n">
        <v>0</v>
      </c>
      <c r="BC174" s="8" t="n">
        <v>0</v>
      </c>
      <c r="BD174" s="8" t="n">
        <v>0</v>
      </c>
      <c r="BE174" s="8" t="n">
        <v>0</v>
      </c>
      <c r="BF174" s="8" t="n">
        <v>0</v>
      </c>
      <c r="BG174" s="8" t="n">
        <v>0</v>
      </c>
      <c r="BH174" s="8" t="n">
        <v>0</v>
      </c>
      <c r="BI174" s="8" t="n">
        <v>0</v>
      </c>
      <c r="BJ174" s="8" t="n">
        <v>0</v>
      </c>
      <c r="BK174" s="8" t="n">
        <v>0</v>
      </c>
      <c r="BL174" s="8" t="n">
        <v>0</v>
      </c>
      <c r="BM174" s="8" t="n">
        <v>0</v>
      </c>
      <c r="BN174" s="8" t="n">
        <v>0</v>
      </c>
      <c r="BO174" s="8" t="n">
        <v>0</v>
      </c>
      <c r="BP174" s="8" t="n">
        <v>0</v>
      </c>
      <c r="BQ174" s="8" t="n">
        <v>0</v>
      </c>
      <c r="BR174" s="8" t="n">
        <v>0</v>
      </c>
      <c r="BS174" s="8" t="n">
        <v>0</v>
      </c>
      <c r="BT174" s="8" t="n">
        <v>0</v>
      </c>
      <c r="BU174" s="8" t="n">
        <v>0</v>
      </c>
      <c r="BV174" s="8" t="n">
        <v>0</v>
      </c>
      <c r="BW174" s="8" t="n">
        <v>0</v>
      </c>
      <c r="BX174" s="8" t="n">
        <v>0</v>
      </c>
      <c r="BY174" s="8" t="n">
        <v>0</v>
      </c>
      <c r="BZ174" s="8" t="n">
        <v>0</v>
      </c>
      <c r="CA174" s="8" t="n">
        <v>0</v>
      </c>
      <c r="CB174" s="8" t="n">
        <v>0</v>
      </c>
      <c r="CC174" s="8" t="n">
        <v>0</v>
      </c>
      <c r="CD174" s="8" t="n">
        <v>0</v>
      </c>
      <c r="CE174" s="8" t="n">
        <v>0</v>
      </c>
    </row>
    <row r="175">
      <c r="A175" s="15" t="inlineStr">
        <is>
          <t>2026-03-05</t>
        </is>
      </c>
      <c r="B175" s="11" t="n">
        <v>0</v>
      </c>
      <c r="C175" s="11" t="n">
        <v>0</v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20</v>
      </c>
      <c r="M175" s="11" t="n">
        <v>0</v>
      </c>
      <c r="N175" s="11" t="n">
        <v>0</v>
      </c>
      <c r="O175" s="11" t="n">
        <v>0</v>
      </c>
      <c r="P175" s="11" t="n">
        <v>0</v>
      </c>
      <c r="Q175" s="11" t="n">
        <v>0</v>
      </c>
      <c r="R175" s="11" t="n">
        <v>0</v>
      </c>
      <c r="S175" s="11" t="n">
        <v>0</v>
      </c>
      <c r="T175" s="11" t="n">
        <v>0</v>
      </c>
      <c r="U175" s="11" t="n">
        <v>0</v>
      </c>
      <c r="V175" s="11" t="n">
        <v>0</v>
      </c>
      <c r="W175" s="11" t="n">
        <v>0</v>
      </c>
      <c r="X175" s="11" t="n">
        <v>0</v>
      </c>
      <c r="Y175" s="11" t="n">
        <v>0</v>
      </c>
      <c r="Z175" s="11" t="n">
        <v>0</v>
      </c>
      <c r="AA175" s="11" t="n">
        <v>0</v>
      </c>
      <c r="AB175" s="11" t="n">
        <v>0</v>
      </c>
      <c r="AC175" s="11" t="n">
        <v>0</v>
      </c>
      <c r="AD175" s="11" t="n">
        <v>10</v>
      </c>
      <c r="AE175" s="11" t="n">
        <v>0</v>
      </c>
      <c r="AF175" s="11" t="n">
        <v>0</v>
      </c>
      <c r="AG175" s="11" t="n">
        <v>0</v>
      </c>
      <c r="AH175" s="11" t="n">
        <v>0</v>
      </c>
      <c r="AI175" s="11" t="n">
        <v>0</v>
      </c>
      <c r="AJ175" s="11" t="n">
        <v>0</v>
      </c>
      <c r="AK175" s="11" t="n">
        <v>0</v>
      </c>
      <c r="AL175" s="11" t="n">
        <v>0</v>
      </c>
      <c r="AM175" s="11" t="n">
        <v>0</v>
      </c>
      <c r="AN175" s="11" t="n">
        <v>0</v>
      </c>
      <c r="AO175" s="11" t="n">
        <v>0</v>
      </c>
      <c r="AP175" s="11" t="n">
        <v>0</v>
      </c>
      <c r="AQ175" s="11" t="n">
        <v>0</v>
      </c>
      <c r="AR175" s="11" t="n">
        <v>0</v>
      </c>
      <c r="AS175" s="11" t="n">
        <v>0</v>
      </c>
      <c r="AT175" s="11" t="n">
        <v>0</v>
      </c>
      <c r="AU175" s="11" t="n">
        <v>0</v>
      </c>
      <c r="AV175" s="11" t="n">
        <v>0</v>
      </c>
      <c r="AW175" s="11" t="n">
        <v>0</v>
      </c>
      <c r="AX175" s="11" t="n">
        <v>0</v>
      </c>
      <c r="AY175" s="11" t="n">
        <v>0</v>
      </c>
      <c r="AZ175" s="11" t="n">
        <v>0</v>
      </c>
      <c r="BA175" s="11" t="n">
        <v>0</v>
      </c>
      <c r="BB175" s="11" t="n">
        <v>0</v>
      </c>
      <c r="BC175" s="11" t="n">
        <v>0</v>
      </c>
      <c r="BD175" s="11" t="n">
        <v>0</v>
      </c>
      <c r="BE175" s="11" t="n">
        <v>0</v>
      </c>
      <c r="BF175" s="11" t="n">
        <v>0</v>
      </c>
      <c r="BG175" s="11" t="n">
        <v>0</v>
      </c>
      <c r="BH175" s="11" t="n">
        <v>0</v>
      </c>
      <c r="BI175" s="11" t="n">
        <v>0</v>
      </c>
      <c r="BJ175" s="11" t="n">
        <v>0</v>
      </c>
      <c r="BK175" s="11" t="n">
        <v>0</v>
      </c>
      <c r="BL175" s="11" t="n">
        <v>0</v>
      </c>
      <c r="BM175" s="11" t="n">
        <v>0</v>
      </c>
      <c r="BN175" s="11" t="n">
        <v>0</v>
      </c>
      <c r="BO175" s="11" t="n">
        <v>0</v>
      </c>
      <c r="BP175" s="11" t="n">
        <v>10</v>
      </c>
      <c r="BQ175" s="11" t="n">
        <v>0</v>
      </c>
      <c r="BR175" s="11" t="n">
        <v>0</v>
      </c>
      <c r="BS175" s="11" t="n">
        <v>0</v>
      </c>
      <c r="BT175" s="11" t="n">
        <v>0</v>
      </c>
      <c r="BU175" s="11" t="n">
        <v>0</v>
      </c>
      <c r="BV175" s="11" t="n">
        <v>0</v>
      </c>
      <c r="BW175" s="11" t="n">
        <v>0</v>
      </c>
      <c r="BX175" s="11" t="n">
        <v>0</v>
      </c>
      <c r="BY175" s="11" t="n">
        <v>0</v>
      </c>
      <c r="BZ175" s="11" t="n">
        <v>0</v>
      </c>
      <c r="CA175" s="11" t="n">
        <v>0</v>
      </c>
      <c r="CB175" s="11" t="n">
        <v>0</v>
      </c>
      <c r="CC175" s="11" t="n">
        <v>0</v>
      </c>
      <c r="CD175" s="11" t="n">
        <v>0</v>
      </c>
      <c r="CE175" s="11" t="n">
        <v>0</v>
      </c>
    </row>
    <row r="176">
      <c r="A176" s="14" t="inlineStr">
        <is>
          <t>2026-03-06</t>
        </is>
      </c>
      <c r="B176" s="8" t="n">
        <v>0</v>
      </c>
      <c r="C176" s="8" t="n">
        <v>0</v>
      </c>
      <c r="D176" s="8" t="n">
        <v>0</v>
      </c>
      <c r="E176" s="8" t="n">
        <v>0</v>
      </c>
      <c r="F176" s="8" t="n">
        <v>0</v>
      </c>
      <c r="G176" s="8" t="n">
        <v>0</v>
      </c>
      <c r="H176" s="8" t="n">
        <v>0</v>
      </c>
      <c r="I176" s="8" t="n">
        <v>0</v>
      </c>
      <c r="J176" s="8" t="n">
        <v>0</v>
      </c>
      <c r="K176" s="8" t="n">
        <v>0</v>
      </c>
      <c r="L176" s="8" t="n">
        <v>20</v>
      </c>
      <c r="M176" s="8" t="n">
        <v>0</v>
      </c>
      <c r="N176" s="8" t="n">
        <v>0</v>
      </c>
      <c r="O176" s="8" t="n">
        <v>0</v>
      </c>
      <c r="P176" s="8" t="n">
        <v>0</v>
      </c>
      <c r="Q176" s="8" t="n">
        <v>0</v>
      </c>
      <c r="R176" s="8" t="n">
        <v>0</v>
      </c>
      <c r="S176" s="8" t="n">
        <v>0</v>
      </c>
      <c r="T176" s="8" t="n">
        <v>0</v>
      </c>
      <c r="U176" s="8" t="n">
        <v>0</v>
      </c>
      <c r="V176" s="8" t="n">
        <v>0</v>
      </c>
      <c r="W176" s="8" t="n">
        <v>0</v>
      </c>
      <c r="X176" s="8" t="n">
        <v>0</v>
      </c>
      <c r="Y176" s="8" t="n">
        <v>0</v>
      </c>
      <c r="Z176" s="8" t="n">
        <v>0</v>
      </c>
      <c r="AA176" s="8" t="n">
        <v>0</v>
      </c>
      <c r="AB176" s="8" t="n">
        <v>0</v>
      </c>
      <c r="AC176" s="8" t="n">
        <v>0</v>
      </c>
      <c r="AD176" s="8" t="n">
        <v>10</v>
      </c>
      <c r="AE176" s="8" t="n">
        <v>0</v>
      </c>
      <c r="AF176" s="8" t="n">
        <v>0</v>
      </c>
      <c r="AG176" s="8" t="n">
        <v>0</v>
      </c>
      <c r="AH176" s="8" t="n">
        <v>0</v>
      </c>
      <c r="AI176" s="8" t="n">
        <v>0</v>
      </c>
      <c r="AJ176" s="8" t="n">
        <v>0</v>
      </c>
      <c r="AK176" s="8" t="n">
        <v>0</v>
      </c>
      <c r="AL176" s="8" t="n">
        <v>0</v>
      </c>
      <c r="AM176" s="8" t="n">
        <v>0</v>
      </c>
      <c r="AN176" s="8" t="n">
        <v>0</v>
      </c>
      <c r="AO176" s="8" t="n">
        <v>0</v>
      </c>
      <c r="AP176" s="8" t="n">
        <v>0</v>
      </c>
      <c r="AQ176" s="8" t="n">
        <v>0</v>
      </c>
      <c r="AR176" s="8" t="n">
        <v>0</v>
      </c>
      <c r="AS176" s="8" t="n">
        <v>0</v>
      </c>
      <c r="AT176" s="8" t="n">
        <v>0</v>
      </c>
      <c r="AU176" s="8" t="n">
        <v>0</v>
      </c>
      <c r="AV176" s="8" t="n">
        <v>0</v>
      </c>
      <c r="AW176" s="8" t="n">
        <v>0</v>
      </c>
      <c r="AX176" s="8" t="n">
        <v>0</v>
      </c>
      <c r="AY176" s="8" t="n">
        <v>0</v>
      </c>
      <c r="AZ176" s="8" t="n">
        <v>0</v>
      </c>
      <c r="BA176" s="8" t="n">
        <v>0</v>
      </c>
      <c r="BB176" s="8" t="n">
        <v>0</v>
      </c>
      <c r="BC176" s="8" t="n">
        <v>0</v>
      </c>
      <c r="BD176" s="8" t="n">
        <v>0</v>
      </c>
      <c r="BE176" s="8" t="n">
        <v>0</v>
      </c>
      <c r="BF176" s="8" t="n">
        <v>0</v>
      </c>
      <c r="BG176" s="8" t="n">
        <v>0</v>
      </c>
      <c r="BH176" s="8" t="n">
        <v>0</v>
      </c>
      <c r="BI176" s="8" t="n">
        <v>0</v>
      </c>
      <c r="BJ176" s="8" t="n">
        <v>0</v>
      </c>
      <c r="BK176" s="8" t="n">
        <v>0</v>
      </c>
      <c r="BL176" s="8" t="n">
        <v>0</v>
      </c>
      <c r="BM176" s="8" t="n">
        <v>0</v>
      </c>
      <c r="BN176" s="8" t="n">
        <v>0</v>
      </c>
      <c r="BO176" s="8" t="n">
        <v>0</v>
      </c>
      <c r="BP176" s="8" t="n">
        <v>10</v>
      </c>
      <c r="BQ176" s="8" t="n">
        <v>0</v>
      </c>
      <c r="BR176" s="8" t="n">
        <v>0</v>
      </c>
      <c r="BS176" s="8" t="n">
        <v>0</v>
      </c>
      <c r="BT176" s="8" t="n">
        <v>0</v>
      </c>
      <c r="BU176" s="8" t="n">
        <v>0</v>
      </c>
      <c r="BV176" s="8" t="n">
        <v>0</v>
      </c>
      <c r="BW176" s="8" t="n">
        <v>0</v>
      </c>
      <c r="BX176" s="8" t="n">
        <v>0</v>
      </c>
      <c r="BY176" s="8" t="n">
        <v>0</v>
      </c>
      <c r="BZ176" s="8" t="n">
        <v>0</v>
      </c>
      <c r="CA176" s="8" t="n">
        <v>0</v>
      </c>
      <c r="CB176" s="8" t="n">
        <v>0</v>
      </c>
      <c r="CC176" s="8" t="n">
        <v>0</v>
      </c>
      <c r="CD176" s="8" t="n">
        <v>0</v>
      </c>
      <c r="CE176" s="8" t="n">
        <v>0</v>
      </c>
    </row>
    <row r="177">
      <c r="A177" s="15" t="inlineStr">
        <is>
          <t>2026-03-09</t>
        </is>
      </c>
      <c r="B177" s="11" t="n">
        <v>0</v>
      </c>
      <c r="C177" s="11" t="n">
        <v>0</v>
      </c>
      <c r="D177" s="11" t="n">
        <v>0</v>
      </c>
      <c r="E177" s="11" t="n">
        <v>0</v>
      </c>
      <c r="F177" s="11" t="n">
        <v>0</v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  <c r="P177" s="11" t="n">
        <v>0</v>
      </c>
      <c r="Q177" s="11" t="n">
        <v>0</v>
      </c>
      <c r="R177" s="11" t="n">
        <v>0</v>
      </c>
      <c r="S177" s="11" t="n">
        <v>0</v>
      </c>
      <c r="T177" s="11" t="n">
        <v>0</v>
      </c>
      <c r="U177" s="11" t="n">
        <v>0</v>
      </c>
      <c r="V177" s="11" t="n">
        <v>0</v>
      </c>
      <c r="W177" s="11" t="n">
        <v>0</v>
      </c>
      <c r="X177" s="11" t="n">
        <v>0</v>
      </c>
      <c r="Y177" s="11" t="n">
        <v>0</v>
      </c>
      <c r="Z177" s="11" t="n">
        <v>0</v>
      </c>
      <c r="AA177" s="11" t="n">
        <v>0</v>
      </c>
      <c r="AB177" s="11" t="n">
        <v>0</v>
      </c>
      <c r="AC177" s="11" t="n">
        <v>0</v>
      </c>
      <c r="AD177" s="11" t="n">
        <v>10</v>
      </c>
      <c r="AE177" s="11" t="n">
        <v>0</v>
      </c>
      <c r="AF177" s="11" t="n">
        <v>0</v>
      </c>
      <c r="AG177" s="11" t="n">
        <v>0</v>
      </c>
      <c r="AH177" s="11" t="n">
        <v>0</v>
      </c>
      <c r="AI177" s="11" t="n">
        <v>0</v>
      </c>
      <c r="AJ177" s="11" t="n">
        <v>0</v>
      </c>
      <c r="AK177" s="11" t="n">
        <v>0</v>
      </c>
      <c r="AL177" s="11" t="n">
        <v>0</v>
      </c>
      <c r="AM177" s="11" t="n">
        <v>0</v>
      </c>
      <c r="AN177" s="11" t="n">
        <v>0</v>
      </c>
      <c r="AO177" s="11" t="n">
        <v>0</v>
      </c>
      <c r="AP177" s="11" t="n">
        <v>0</v>
      </c>
      <c r="AQ177" s="11" t="n">
        <v>0</v>
      </c>
      <c r="AR177" s="11" t="n">
        <v>0</v>
      </c>
      <c r="AS177" s="11" t="n">
        <v>0</v>
      </c>
      <c r="AT177" s="11" t="n">
        <v>0</v>
      </c>
      <c r="AU177" s="11" t="n">
        <v>0</v>
      </c>
      <c r="AV177" s="11" t="n">
        <v>0</v>
      </c>
      <c r="AW177" s="11" t="n">
        <v>0</v>
      </c>
      <c r="AX177" s="11" t="n">
        <v>0</v>
      </c>
      <c r="AY177" s="11" t="n">
        <v>0</v>
      </c>
      <c r="AZ177" s="11" t="n">
        <v>0</v>
      </c>
      <c r="BA177" s="11" t="n">
        <v>0</v>
      </c>
      <c r="BB177" s="11" t="n">
        <v>0</v>
      </c>
      <c r="BC177" s="11" t="n">
        <v>0</v>
      </c>
      <c r="BD177" s="11" t="n">
        <v>0</v>
      </c>
      <c r="BE177" s="11" t="n">
        <v>0</v>
      </c>
      <c r="BF177" s="11" t="n">
        <v>0</v>
      </c>
      <c r="BG177" s="11" t="n">
        <v>0</v>
      </c>
      <c r="BH177" s="11" t="n">
        <v>0</v>
      </c>
      <c r="BI177" s="11" t="n">
        <v>0</v>
      </c>
      <c r="BJ177" s="11" t="n">
        <v>0</v>
      </c>
      <c r="BK177" s="11" t="n">
        <v>0</v>
      </c>
      <c r="BL177" s="11" t="n">
        <v>0</v>
      </c>
      <c r="BM177" s="11" t="n">
        <v>0</v>
      </c>
      <c r="BN177" s="11" t="n">
        <v>0</v>
      </c>
      <c r="BO177" s="11" t="n">
        <v>0</v>
      </c>
      <c r="BP177" s="11" t="n">
        <v>10</v>
      </c>
      <c r="BQ177" s="11" t="n">
        <v>0</v>
      </c>
      <c r="BR177" s="11" t="n">
        <v>0</v>
      </c>
      <c r="BS177" s="11" t="n">
        <v>0</v>
      </c>
      <c r="BT177" s="11" t="n">
        <v>0</v>
      </c>
      <c r="BU177" s="11" t="n">
        <v>0</v>
      </c>
      <c r="BV177" s="11" t="n">
        <v>0</v>
      </c>
      <c r="BW177" s="11" t="n">
        <v>0</v>
      </c>
      <c r="BX177" s="11" t="n">
        <v>0</v>
      </c>
      <c r="BY177" s="11" t="n">
        <v>0</v>
      </c>
      <c r="BZ177" s="11" t="n">
        <v>0</v>
      </c>
      <c r="CA177" s="11" t="n">
        <v>0</v>
      </c>
      <c r="CB177" s="11" t="n">
        <v>0</v>
      </c>
      <c r="CC177" s="11" t="n">
        <v>0</v>
      </c>
      <c r="CD177" s="11" t="n">
        <v>0</v>
      </c>
      <c r="CE177" s="11" t="n">
        <v>0</v>
      </c>
    </row>
    <row r="178">
      <c r="A178" s="14" t="inlineStr">
        <is>
          <t>2026-03-10</t>
        </is>
      </c>
      <c r="B178" s="8" t="n">
        <v>0</v>
      </c>
      <c r="C178" s="8" t="n">
        <v>0</v>
      </c>
      <c r="D178" s="8" t="n">
        <v>0</v>
      </c>
      <c r="E178" s="8" t="n">
        <v>0</v>
      </c>
      <c r="F178" s="8" t="n">
        <v>0</v>
      </c>
      <c r="G178" s="8" t="n">
        <v>0</v>
      </c>
      <c r="H178" s="8" t="n">
        <v>0</v>
      </c>
      <c r="I178" s="8" t="n">
        <v>0</v>
      </c>
      <c r="J178" s="8" t="n">
        <v>0</v>
      </c>
      <c r="K178" s="8" t="n">
        <v>0</v>
      </c>
      <c r="L178" s="8" t="n">
        <v>0</v>
      </c>
      <c r="M178" s="8" t="n">
        <v>0</v>
      </c>
      <c r="N178" s="8" t="n">
        <v>0</v>
      </c>
      <c r="O178" s="8" t="n">
        <v>0</v>
      </c>
      <c r="P178" s="8" t="n">
        <v>0</v>
      </c>
      <c r="Q178" s="8" t="n">
        <v>0</v>
      </c>
      <c r="R178" s="8" t="n">
        <v>0</v>
      </c>
      <c r="S178" s="8" t="n">
        <v>0</v>
      </c>
      <c r="T178" s="8" t="n">
        <v>0</v>
      </c>
      <c r="U178" s="8" t="n">
        <v>0</v>
      </c>
      <c r="V178" s="8" t="n">
        <v>0</v>
      </c>
      <c r="W178" s="8" t="n">
        <v>0</v>
      </c>
      <c r="X178" s="8" t="n">
        <v>0</v>
      </c>
      <c r="Y178" s="8" t="n">
        <v>0</v>
      </c>
      <c r="Z178" s="8" t="n">
        <v>0</v>
      </c>
      <c r="AA178" s="8" t="n">
        <v>0</v>
      </c>
      <c r="AB178" s="8" t="n">
        <v>0</v>
      </c>
      <c r="AC178" s="8" t="n">
        <v>0</v>
      </c>
      <c r="AD178" s="8" t="n">
        <v>10</v>
      </c>
      <c r="AE178" s="8" t="n">
        <v>0</v>
      </c>
      <c r="AF178" s="8" t="n">
        <v>0</v>
      </c>
      <c r="AG178" s="8" t="n">
        <v>0</v>
      </c>
      <c r="AH178" s="8" t="n">
        <v>0</v>
      </c>
      <c r="AI178" s="8" t="n">
        <v>0</v>
      </c>
      <c r="AJ178" s="8" t="n">
        <v>0</v>
      </c>
      <c r="AK178" s="8" t="n">
        <v>0</v>
      </c>
      <c r="AL178" s="8" t="n">
        <v>0</v>
      </c>
      <c r="AM178" s="8" t="n">
        <v>0</v>
      </c>
      <c r="AN178" s="8" t="n">
        <v>0</v>
      </c>
      <c r="AO178" s="8" t="n">
        <v>0</v>
      </c>
      <c r="AP178" s="8" t="n">
        <v>0</v>
      </c>
      <c r="AQ178" s="8" t="n">
        <v>0</v>
      </c>
      <c r="AR178" s="8" t="n">
        <v>0</v>
      </c>
      <c r="AS178" s="8" t="n">
        <v>0</v>
      </c>
      <c r="AT178" s="8" t="n">
        <v>0</v>
      </c>
      <c r="AU178" s="8" t="n">
        <v>0</v>
      </c>
      <c r="AV178" s="8" t="n">
        <v>0</v>
      </c>
      <c r="AW178" s="8" t="n">
        <v>0</v>
      </c>
      <c r="AX178" s="8" t="n">
        <v>0</v>
      </c>
      <c r="AY178" s="8" t="n">
        <v>0</v>
      </c>
      <c r="AZ178" s="8" t="n">
        <v>0</v>
      </c>
      <c r="BA178" s="8" t="n">
        <v>0</v>
      </c>
      <c r="BB178" s="8" t="n">
        <v>0</v>
      </c>
      <c r="BC178" s="8" t="n">
        <v>0</v>
      </c>
      <c r="BD178" s="8" t="n">
        <v>0</v>
      </c>
      <c r="BE178" s="8" t="n">
        <v>0</v>
      </c>
      <c r="BF178" s="8" t="n">
        <v>0</v>
      </c>
      <c r="BG178" s="8" t="n">
        <v>0</v>
      </c>
      <c r="BH178" s="8" t="n">
        <v>0</v>
      </c>
      <c r="BI178" s="8" t="n">
        <v>0</v>
      </c>
      <c r="BJ178" s="8" t="n">
        <v>0</v>
      </c>
      <c r="BK178" s="8" t="n">
        <v>0</v>
      </c>
      <c r="BL178" s="8" t="n">
        <v>0</v>
      </c>
      <c r="BM178" s="8" t="n">
        <v>0</v>
      </c>
      <c r="BN178" s="8" t="n">
        <v>0</v>
      </c>
      <c r="BO178" s="8" t="n">
        <v>0</v>
      </c>
      <c r="BP178" s="8" t="n">
        <v>10</v>
      </c>
      <c r="BQ178" s="8" t="n">
        <v>0</v>
      </c>
      <c r="BR178" s="8" t="n">
        <v>0</v>
      </c>
      <c r="BS178" s="8" t="n">
        <v>0</v>
      </c>
      <c r="BT178" s="8" t="n">
        <v>0</v>
      </c>
      <c r="BU178" s="8" t="n">
        <v>0</v>
      </c>
      <c r="BV178" s="8" t="n">
        <v>0</v>
      </c>
      <c r="BW178" s="8" t="n">
        <v>0</v>
      </c>
      <c r="BX178" s="8" t="n">
        <v>2</v>
      </c>
      <c r="BY178" s="8" t="n">
        <v>40</v>
      </c>
      <c r="BZ178" s="8" t="n">
        <v>0</v>
      </c>
      <c r="CA178" s="8" t="n">
        <v>0</v>
      </c>
      <c r="CB178" s="8" t="n">
        <v>0</v>
      </c>
      <c r="CC178" s="8" t="n">
        <v>0</v>
      </c>
      <c r="CD178" s="8" t="n">
        <v>0</v>
      </c>
      <c r="CE178" s="8" t="n">
        <v>0</v>
      </c>
    </row>
    <row r="179">
      <c r="A179" s="15" t="inlineStr">
        <is>
          <t>2026-03-11</t>
        </is>
      </c>
      <c r="B179" s="11" t="n">
        <v>0</v>
      </c>
      <c r="C179" s="11" t="n">
        <v>0</v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2</v>
      </c>
      <c r="O179" s="11" t="n">
        <v>0</v>
      </c>
      <c r="P179" s="11" t="n">
        <v>0</v>
      </c>
      <c r="Q179" s="11" t="n">
        <v>0</v>
      </c>
      <c r="R179" s="11" t="n">
        <v>0</v>
      </c>
      <c r="S179" s="11" t="n">
        <v>0</v>
      </c>
      <c r="T179" s="11" t="n">
        <v>0</v>
      </c>
      <c r="U179" s="11" t="n">
        <v>0</v>
      </c>
      <c r="V179" s="11" t="n">
        <v>0</v>
      </c>
      <c r="W179" s="11" t="n">
        <v>0</v>
      </c>
      <c r="X179" s="11" t="n">
        <v>0</v>
      </c>
      <c r="Y179" s="11" t="n">
        <v>0</v>
      </c>
      <c r="Z179" s="11" t="n">
        <v>0</v>
      </c>
      <c r="AA179" s="11" t="n">
        <v>0</v>
      </c>
      <c r="AB179" s="11" t="n">
        <v>0</v>
      </c>
      <c r="AC179" s="11" t="n">
        <v>0</v>
      </c>
      <c r="AD179" s="11" t="n">
        <v>10</v>
      </c>
      <c r="AE179" s="11" t="n">
        <v>0</v>
      </c>
      <c r="AF179" s="11" t="n">
        <v>0</v>
      </c>
      <c r="AG179" s="11" t="n">
        <v>0</v>
      </c>
      <c r="AH179" s="11" t="n">
        <v>0</v>
      </c>
      <c r="AI179" s="11" t="n">
        <v>0</v>
      </c>
      <c r="AJ179" s="11" t="n">
        <v>0</v>
      </c>
      <c r="AK179" s="11" t="n">
        <v>0</v>
      </c>
      <c r="AL179" s="11" t="n">
        <v>0</v>
      </c>
      <c r="AM179" s="11" t="n">
        <v>0</v>
      </c>
      <c r="AN179" s="11" t="n">
        <v>0</v>
      </c>
      <c r="AO179" s="11" t="n">
        <v>0</v>
      </c>
      <c r="AP179" s="11" t="n">
        <v>0</v>
      </c>
      <c r="AQ179" s="11" t="n">
        <v>0</v>
      </c>
      <c r="AR179" s="11" t="n">
        <v>0</v>
      </c>
      <c r="AS179" s="11" t="n">
        <v>0</v>
      </c>
      <c r="AT179" s="11" t="n">
        <v>0</v>
      </c>
      <c r="AU179" s="11" t="n">
        <v>4</v>
      </c>
      <c r="AV179" s="11" t="n">
        <v>0</v>
      </c>
      <c r="AW179" s="11" t="n">
        <v>0</v>
      </c>
      <c r="AX179" s="11" t="n">
        <v>0</v>
      </c>
      <c r="AY179" s="11" t="n">
        <v>0</v>
      </c>
      <c r="AZ179" s="11" t="n">
        <v>0</v>
      </c>
      <c r="BA179" s="11" t="n">
        <v>0</v>
      </c>
      <c r="BB179" s="11" t="n">
        <v>0</v>
      </c>
      <c r="BC179" s="11" t="n">
        <v>0</v>
      </c>
      <c r="BD179" s="11" t="n">
        <v>0</v>
      </c>
      <c r="BE179" s="11" t="n">
        <v>0</v>
      </c>
      <c r="BF179" s="11" t="n">
        <v>0</v>
      </c>
      <c r="BG179" s="11" t="n">
        <v>0</v>
      </c>
      <c r="BH179" s="11" t="n">
        <v>0</v>
      </c>
      <c r="BI179" s="11" t="n">
        <v>0</v>
      </c>
      <c r="BJ179" s="11" t="n">
        <v>0</v>
      </c>
      <c r="BK179" s="11" t="n">
        <v>0</v>
      </c>
      <c r="BL179" s="11" t="n">
        <v>0</v>
      </c>
      <c r="BM179" s="11" t="n">
        <v>0</v>
      </c>
      <c r="BN179" s="11" t="n">
        <v>0</v>
      </c>
      <c r="BO179" s="11" t="n">
        <v>0</v>
      </c>
      <c r="BP179" s="11" t="n">
        <v>10</v>
      </c>
      <c r="BQ179" s="11" t="n">
        <v>0</v>
      </c>
      <c r="BR179" s="11" t="n">
        <v>0</v>
      </c>
      <c r="BS179" s="11" t="n">
        <v>0</v>
      </c>
      <c r="BT179" s="11" t="n">
        <v>0</v>
      </c>
      <c r="BU179" s="11" t="n">
        <v>0</v>
      </c>
      <c r="BV179" s="11" t="n">
        <v>0</v>
      </c>
      <c r="BW179" s="11" t="n">
        <v>0</v>
      </c>
      <c r="BX179" s="11" t="n">
        <v>2</v>
      </c>
      <c r="BY179" s="11" t="n">
        <v>40</v>
      </c>
      <c r="BZ179" s="11" t="n">
        <v>0</v>
      </c>
      <c r="CA179" s="11" t="n">
        <v>0</v>
      </c>
      <c r="CB179" s="11" t="n">
        <v>0</v>
      </c>
      <c r="CC179" s="11" t="n">
        <v>0</v>
      </c>
      <c r="CD179" s="11" t="n">
        <v>0</v>
      </c>
      <c r="CE179" s="11" t="n">
        <v>0</v>
      </c>
    </row>
    <row r="180">
      <c r="A180" s="14" t="inlineStr">
        <is>
          <t>2026-03-12</t>
        </is>
      </c>
      <c r="B180" s="8" t="n">
        <v>0</v>
      </c>
      <c r="C180" s="8" t="n">
        <v>0</v>
      </c>
      <c r="D180" s="8" t="n">
        <v>0</v>
      </c>
      <c r="E180" s="8" t="n">
        <v>0</v>
      </c>
      <c r="F180" s="8" t="n">
        <v>0</v>
      </c>
      <c r="G180" s="8" t="n">
        <v>0</v>
      </c>
      <c r="H180" s="8" t="n">
        <v>0</v>
      </c>
      <c r="I180" s="8" t="n">
        <v>0</v>
      </c>
      <c r="J180" s="8" t="n">
        <v>0</v>
      </c>
      <c r="K180" s="8" t="n">
        <v>0</v>
      </c>
      <c r="L180" s="8" t="n">
        <v>0</v>
      </c>
      <c r="M180" s="8" t="n">
        <v>0</v>
      </c>
      <c r="N180" s="8" t="n">
        <v>2</v>
      </c>
      <c r="O180" s="8" t="n">
        <v>0</v>
      </c>
      <c r="P180" s="8" t="n">
        <v>0</v>
      </c>
      <c r="Q180" s="8" t="n">
        <v>0</v>
      </c>
      <c r="R180" s="8" t="n">
        <v>0</v>
      </c>
      <c r="S180" s="8" t="n">
        <v>0</v>
      </c>
      <c r="T180" s="8" t="n">
        <v>0</v>
      </c>
      <c r="U180" s="8" t="n">
        <v>0</v>
      </c>
      <c r="V180" s="8" t="n">
        <v>0</v>
      </c>
      <c r="W180" s="8" t="n">
        <v>0</v>
      </c>
      <c r="X180" s="8" t="n">
        <v>0</v>
      </c>
      <c r="Y180" s="8" t="n">
        <v>0</v>
      </c>
      <c r="Z180" s="8" t="n">
        <v>0</v>
      </c>
      <c r="AA180" s="8" t="n">
        <v>0</v>
      </c>
      <c r="AB180" s="8" t="n">
        <v>0</v>
      </c>
      <c r="AC180" s="8" t="n">
        <v>0</v>
      </c>
      <c r="AD180" s="8" t="n">
        <v>10</v>
      </c>
      <c r="AE180" s="8" t="n">
        <v>0</v>
      </c>
      <c r="AF180" s="8" t="n">
        <v>0</v>
      </c>
      <c r="AG180" s="8" t="n">
        <v>0</v>
      </c>
      <c r="AH180" s="8" t="n">
        <v>0</v>
      </c>
      <c r="AI180" s="8" t="n">
        <v>20</v>
      </c>
      <c r="AJ180" s="8" t="n">
        <v>0</v>
      </c>
      <c r="AK180" s="8" t="n">
        <v>0</v>
      </c>
      <c r="AL180" s="8" t="n">
        <v>0</v>
      </c>
      <c r="AM180" s="8" t="n">
        <v>0</v>
      </c>
      <c r="AN180" s="8" t="n">
        <v>0</v>
      </c>
      <c r="AO180" s="8" t="n">
        <v>0</v>
      </c>
      <c r="AP180" s="8" t="n">
        <v>0</v>
      </c>
      <c r="AQ180" s="8" t="n">
        <v>0</v>
      </c>
      <c r="AR180" s="8" t="n">
        <v>0</v>
      </c>
      <c r="AS180" s="8" t="n">
        <v>0</v>
      </c>
      <c r="AT180" s="8" t="n">
        <v>0</v>
      </c>
      <c r="AU180" s="8" t="n">
        <v>4</v>
      </c>
      <c r="AV180" s="8" t="n">
        <v>0</v>
      </c>
      <c r="AW180" s="8" t="n">
        <v>0</v>
      </c>
      <c r="AX180" s="8" t="n">
        <v>0</v>
      </c>
      <c r="AY180" s="8" t="n">
        <v>0</v>
      </c>
      <c r="AZ180" s="8" t="n">
        <v>0</v>
      </c>
      <c r="BA180" s="8" t="n">
        <v>0</v>
      </c>
      <c r="BB180" s="8" t="n">
        <v>0</v>
      </c>
      <c r="BC180" s="8" t="n">
        <v>0</v>
      </c>
      <c r="BD180" s="8" t="n">
        <v>0</v>
      </c>
      <c r="BE180" s="8" t="n">
        <v>0</v>
      </c>
      <c r="BF180" s="8" t="n">
        <v>0</v>
      </c>
      <c r="BG180" s="8" t="n">
        <v>0</v>
      </c>
      <c r="BH180" s="8" t="n">
        <v>0</v>
      </c>
      <c r="BI180" s="8" t="n">
        <v>0</v>
      </c>
      <c r="BJ180" s="8" t="n">
        <v>0</v>
      </c>
      <c r="BK180" s="8" t="n">
        <v>0</v>
      </c>
      <c r="BL180" s="8" t="n">
        <v>0</v>
      </c>
      <c r="BM180" s="8" t="n">
        <v>0</v>
      </c>
      <c r="BN180" s="8" t="n">
        <v>0</v>
      </c>
      <c r="BO180" s="8" t="n">
        <v>0</v>
      </c>
      <c r="BP180" s="8" t="n">
        <v>10</v>
      </c>
      <c r="BQ180" s="8" t="n">
        <v>0</v>
      </c>
      <c r="BR180" s="8" t="n">
        <v>0</v>
      </c>
      <c r="BS180" s="8" t="n">
        <v>0</v>
      </c>
      <c r="BT180" s="8" t="n">
        <v>0</v>
      </c>
      <c r="BU180" s="8" t="n">
        <v>0</v>
      </c>
      <c r="BV180" s="8" t="n">
        <v>0</v>
      </c>
      <c r="BW180" s="8" t="n">
        <v>0</v>
      </c>
      <c r="BX180" s="8" t="n">
        <v>2</v>
      </c>
      <c r="BY180" s="8" t="n">
        <v>40</v>
      </c>
      <c r="BZ180" s="8" t="n">
        <v>0</v>
      </c>
      <c r="CA180" s="8" t="n">
        <v>0</v>
      </c>
      <c r="CB180" s="8" t="n">
        <v>0</v>
      </c>
      <c r="CC180" s="8" t="n">
        <v>0</v>
      </c>
      <c r="CD180" s="8" t="n">
        <v>0</v>
      </c>
      <c r="CE180" s="8" t="n">
        <v>0</v>
      </c>
    </row>
    <row r="181">
      <c r="A181" s="15" t="inlineStr">
        <is>
          <t>2026-03-13</t>
        </is>
      </c>
      <c r="B181" s="11" t="n">
        <v>0</v>
      </c>
      <c r="C181" s="11" t="n">
        <v>0</v>
      </c>
      <c r="D181" s="11" t="n">
        <v>0</v>
      </c>
      <c r="E181" s="11" t="n">
        <v>0</v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  <c r="P181" s="11" t="n">
        <v>0</v>
      </c>
      <c r="Q181" s="11" t="n">
        <v>0</v>
      </c>
      <c r="R181" s="11" t="n">
        <v>0</v>
      </c>
      <c r="S181" s="11" t="n">
        <v>0</v>
      </c>
      <c r="T181" s="11" t="n">
        <v>0</v>
      </c>
      <c r="U181" s="11" t="n">
        <v>0</v>
      </c>
      <c r="V181" s="11" t="n">
        <v>0</v>
      </c>
      <c r="W181" s="11" t="n">
        <v>0</v>
      </c>
      <c r="X181" s="11" t="n">
        <v>0</v>
      </c>
      <c r="Y181" s="11" t="n">
        <v>0</v>
      </c>
      <c r="Z181" s="11" t="n">
        <v>0</v>
      </c>
      <c r="AA181" s="11" t="n">
        <v>0</v>
      </c>
      <c r="AB181" s="11" t="n">
        <v>0</v>
      </c>
      <c r="AC181" s="11" t="n">
        <v>0</v>
      </c>
      <c r="AD181" s="11" t="n">
        <v>10</v>
      </c>
      <c r="AE181" s="11" t="n">
        <v>0</v>
      </c>
      <c r="AF181" s="11" t="n">
        <v>0</v>
      </c>
      <c r="AG181" s="11" t="n">
        <v>0</v>
      </c>
      <c r="AH181" s="11" t="n">
        <v>0</v>
      </c>
      <c r="AI181" s="11" t="n">
        <v>0</v>
      </c>
      <c r="AJ181" s="11" t="n">
        <v>0</v>
      </c>
      <c r="AK181" s="11" t="n">
        <v>0</v>
      </c>
      <c r="AL181" s="11" t="n">
        <v>0</v>
      </c>
      <c r="AM181" s="11" t="n">
        <v>0</v>
      </c>
      <c r="AN181" s="11" t="n">
        <v>0</v>
      </c>
      <c r="AO181" s="11" t="n">
        <v>0</v>
      </c>
      <c r="AP181" s="11" t="n">
        <v>0</v>
      </c>
      <c r="AQ181" s="11" t="n">
        <v>0</v>
      </c>
      <c r="AR181" s="11" t="n">
        <v>0</v>
      </c>
      <c r="AS181" s="11" t="n">
        <v>0</v>
      </c>
      <c r="AT181" s="11" t="n">
        <v>0</v>
      </c>
      <c r="AU181" s="11" t="n">
        <v>0</v>
      </c>
      <c r="AV181" s="11" t="n">
        <v>0</v>
      </c>
      <c r="AW181" s="11" t="n">
        <v>0</v>
      </c>
      <c r="AX181" s="11" t="n">
        <v>0</v>
      </c>
      <c r="AY181" s="11" t="n">
        <v>0</v>
      </c>
      <c r="AZ181" s="11" t="n">
        <v>0</v>
      </c>
      <c r="BA181" s="11" t="n">
        <v>0</v>
      </c>
      <c r="BB181" s="11" t="n">
        <v>0</v>
      </c>
      <c r="BC181" s="11" t="n">
        <v>0</v>
      </c>
      <c r="BD181" s="11" t="n">
        <v>0</v>
      </c>
      <c r="BE181" s="11" t="n">
        <v>0</v>
      </c>
      <c r="BF181" s="11" t="n">
        <v>0</v>
      </c>
      <c r="BG181" s="11" t="n">
        <v>0</v>
      </c>
      <c r="BH181" s="11" t="n">
        <v>0</v>
      </c>
      <c r="BI181" s="11" t="n">
        <v>0</v>
      </c>
      <c r="BJ181" s="11" t="n">
        <v>0</v>
      </c>
      <c r="BK181" s="11" t="n">
        <v>0</v>
      </c>
      <c r="BL181" s="11" t="n">
        <v>0</v>
      </c>
      <c r="BM181" s="11" t="n">
        <v>0</v>
      </c>
      <c r="BN181" s="11" t="n">
        <v>0</v>
      </c>
      <c r="BO181" s="11" t="n">
        <v>0</v>
      </c>
      <c r="BP181" s="11" t="n">
        <v>0</v>
      </c>
      <c r="BQ181" s="11" t="n">
        <v>0</v>
      </c>
      <c r="BR181" s="11" t="n">
        <v>0</v>
      </c>
      <c r="BS181" s="11" t="n">
        <v>0</v>
      </c>
      <c r="BT181" s="11" t="n">
        <v>0</v>
      </c>
      <c r="BU181" s="11" t="n">
        <v>0</v>
      </c>
      <c r="BV181" s="11" t="n">
        <v>0</v>
      </c>
      <c r="BW181" s="11" t="n">
        <v>0</v>
      </c>
      <c r="BX181" s="11" t="n">
        <v>0</v>
      </c>
      <c r="BY181" s="11" t="n">
        <v>40</v>
      </c>
      <c r="BZ181" s="11" t="n">
        <v>0</v>
      </c>
      <c r="CA181" s="11" t="n">
        <v>0</v>
      </c>
      <c r="CB181" s="11" t="n">
        <v>0</v>
      </c>
      <c r="CC181" s="11" t="n">
        <v>0</v>
      </c>
      <c r="CD181" s="11" t="n">
        <v>0</v>
      </c>
      <c r="CE181" s="11" t="n">
        <v>0</v>
      </c>
    </row>
    <row r="182">
      <c r="A182" s="14" t="inlineStr">
        <is>
          <t>2026-03-16</t>
        </is>
      </c>
      <c r="B182" s="8" t="n">
        <v>0</v>
      </c>
      <c r="C182" s="8" t="n">
        <v>0</v>
      </c>
      <c r="D182" s="8" t="n">
        <v>0</v>
      </c>
      <c r="E182" s="8" t="n">
        <v>0</v>
      </c>
      <c r="F182" s="8" t="n">
        <v>0</v>
      </c>
      <c r="G182" s="8" t="n">
        <v>0</v>
      </c>
      <c r="H182" s="8" t="n">
        <v>0</v>
      </c>
      <c r="I182" s="8" t="n">
        <v>0</v>
      </c>
      <c r="J182" s="8" t="n">
        <v>0</v>
      </c>
      <c r="K182" s="8" t="n">
        <v>0</v>
      </c>
      <c r="L182" s="8" t="n">
        <v>0</v>
      </c>
      <c r="M182" s="8" t="n">
        <v>0</v>
      </c>
      <c r="N182" s="8" t="n">
        <v>0</v>
      </c>
      <c r="O182" s="8" t="n">
        <v>0</v>
      </c>
      <c r="P182" s="8" t="n">
        <v>0</v>
      </c>
      <c r="Q182" s="8" t="n">
        <v>0</v>
      </c>
      <c r="R182" s="8" t="n">
        <v>0</v>
      </c>
      <c r="S182" s="8" t="n">
        <v>0</v>
      </c>
      <c r="T182" s="8" t="n">
        <v>0</v>
      </c>
      <c r="U182" s="8" t="n">
        <v>0</v>
      </c>
      <c r="V182" s="8" t="n">
        <v>0</v>
      </c>
      <c r="W182" s="8" t="n">
        <v>0</v>
      </c>
      <c r="X182" s="8" t="n">
        <v>0</v>
      </c>
      <c r="Y182" s="8" t="n">
        <v>0</v>
      </c>
      <c r="Z182" s="8" t="n">
        <v>0</v>
      </c>
      <c r="AA182" s="8" t="n">
        <v>0</v>
      </c>
      <c r="AB182" s="8" t="n">
        <v>0</v>
      </c>
      <c r="AC182" s="8" t="n">
        <v>0</v>
      </c>
      <c r="AD182" s="8" t="n">
        <v>10</v>
      </c>
      <c r="AE182" s="8" t="n">
        <v>0</v>
      </c>
      <c r="AF182" s="8" t="n">
        <v>0</v>
      </c>
      <c r="AG182" s="8" t="n">
        <v>0</v>
      </c>
      <c r="AH182" s="8" t="n">
        <v>0</v>
      </c>
      <c r="AI182" s="8" t="n">
        <v>0</v>
      </c>
      <c r="AJ182" s="8" t="n">
        <v>0</v>
      </c>
      <c r="AK182" s="8" t="n">
        <v>0</v>
      </c>
      <c r="AL182" s="8" t="n">
        <v>0</v>
      </c>
      <c r="AM182" s="8" t="n">
        <v>0</v>
      </c>
      <c r="AN182" s="8" t="n">
        <v>0</v>
      </c>
      <c r="AO182" s="8" t="n">
        <v>0</v>
      </c>
      <c r="AP182" s="8" t="n">
        <v>0</v>
      </c>
      <c r="AQ182" s="8" t="n">
        <v>0</v>
      </c>
      <c r="AR182" s="8" t="n">
        <v>0</v>
      </c>
      <c r="AS182" s="8" t="n">
        <v>0</v>
      </c>
      <c r="AT182" s="8" t="n">
        <v>0</v>
      </c>
      <c r="AU182" s="8" t="n">
        <v>0</v>
      </c>
      <c r="AV182" s="8" t="n">
        <v>0</v>
      </c>
      <c r="AW182" s="8" t="n">
        <v>0</v>
      </c>
      <c r="AX182" s="8" t="n">
        <v>0</v>
      </c>
      <c r="AY182" s="8" t="n">
        <v>0</v>
      </c>
      <c r="AZ182" s="8" t="n">
        <v>0</v>
      </c>
      <c r="BA182" s="8" t="n">
        <v>0</v>
      </c>
      <c r="BB182" s="8" t="n">
        <v>0</v>
      </c>
      <c r="BC182" s="8" t="n">
        <v>0</v>
      </c>
      <c r="BD182" s="8" t="n">
        <v>0</v>
      </c>
      <c r="BE182" s="8" t="n">
        <v>0</v>
      </c>
      <c r="BF182" s="8" t="n">
        <v>0</v>
      </c>
      <c r="BG182" s="8" t="n">
        <v>0</v>
      </c>
      <c r="BH182" s="8" t="n">
        <v>0</v>
      </c>
      <c r="BI182" s="8" t="n">
        <v>0</v>
      </c>
      <c r="BJ182" s="8" t="n">
        <v>0</v>
      </c>
      <c r="BK182" s="8" t="n">
        <v>0</v>
      </c>
      <c r="BL182" s="8" t="n">
        <v>0</v>
      </c>
      <c r="BM182" s="8" t="n">
        <v>0</v>
      </c>
      <c r="BN182" s="8" t="n">
        <v>0</v>
      </c>
      <c r="BO182" s="8" t="n">
        <v>0</v>
      </c>
      <c r="BP182" s="8" t="n">
        <v>0</v>
      </c>
      <c r="BQ182" s="8" t="n">
        <v>0</v>
      </c>
      <c r="BR182" s="8" t="n">
        <v>0</v>
      </c>
      <c r="BS182" s="8" t="n">
        <v>0</v>
      </c>
      <c r="BT182" s="8" t="n">
        <v>0</v>
      </c>
      <c r="BU182" s="8" t="n">
        <v>0</v>
      </c>
      <c r="BV182" s="8" t="n">
        <v>0</v>
      </c>
      <c r="BW182" s="8" t="n">
        <v>0</v>
      </c>
      <c r="BX182" s="8" t="n">
        <v>0</v>
      </c>
      <c r="BY182" s="8" t="n">
        <v>40</v>
      </c>
      <c r="BZ182" s="8" t="n">
        <v>0</v>
      </c>
      <c r="CA182" s="8" t="n">
        <v>0</v>
      </c>
      <c r="CB182" s="8" t="n">
        <v>0</v>
      </c>
      <c r="CC182" s="8" t="n">
        <v>0</v>
      </c>
      <c r="CD182" s="8" t="n">
        <v>0</v>
      </c>
      <c r="CE182" s="8" t="n">
        <v>0</v>
      </c>
    </row>
    <row r="183">
      <c r="A183" s="15" t="inlineStr">
        <is>
          <t>2026-03-17</t>
        </is>
      </c>
      <c r="B183" s="11" t="n">
        <v>0</v>
      </c>
      <c r="C183" s="11" t="n">
        <v>0</v>
      </c>
      <c r="D183" s="11" t="n">
        <v>0</v>
      </c>
      <c r="E183" s="11" t="n">
        <v>0</v>
      </c>
      <c r="F183" s="11" t="n">
        <v>0</v>
      </c>
      <c r="G183" s="11" t="n">
        <v>0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  <c r="P183" s="11" t="n">
        <v>0</v>
      </c>
      <c r="Q183" s="11" t="n">
        <v>0</v>
      </c>
      <c r="R183" s="11" t="n">
        <v>0</v>
      </c>
      <c r="S183" s="11" t="n">
        <v>0</v>
      </c>
      <c r="T183" s="11" t="n">
        <v>0</v>
      </c>
      <c r="U183" s="11" t="n">
        <v>0</v>
      </c>
      <c r="V183" s="11" t="n">
        <v>0</v>
      </c>
      <c r="W183" s="11" t="n">
        <v>0</v>
      </c>
      <c r="X183" s="11" t="n">
        <v>0</v>
      </c>
      <c r="Y183" s="11" t="n">
        <v>0</v>
      </c>
      <c r="Z183" s="11" t="n">
        <v>0</v>
      </c>
      <c r="AA183" s="11" t="n">
        <v>0</v>
      </c>
      <c r="AB183" s="11" t="n">
        <v>0</v>
      </c>
      <c r="AC183" s="11" t="n">
        <v>0</v>
      </c>
      <c r="AD183" s="11" t="n">
        <v>10</v>
      </c>
      <c r="AE183" s="11" t="n">
        <v>0</v>
      </c>
      <c r="AF183" s="11" t="n">
        <v>0</v>
      </c>
      <c r="AG183" s="11" t="n">
        <v>0</v>
      </c>
      <c r="AH183" s="11" t="n">
        <v>0</v>
      </c>
      <c r="AI183" s="11" t="n">
        <v>0</v>
      </c>
      <c r="AJ183" s="11" t="n">
        <v>0</v>
      </c>
      <c r="AK183" s="11" t="n">
        <v>0</v>
      </c>
      <c r="AL183" s="11" t="n">
        <v>0</v>
      </c>
      <c r="AM183" s="11" t="n">
        <v>0</v>
      </c>
      <c r="AN183" s="11" t="n">
        <v>0</v>
      </c>
      <c r="AO183" s="11" t="n">
        <v>0</v>
      </c>
      <c r="AP183" s="11" t="n">
        <v>0</v>
      </c>
      <c r="AQ183" s="11" t="n">
        <v>0</v>
      </c>
      <c r="AR183" s="11" t="n">
        <v>0</v>
      </c>
      <c r="AS183" s="11" t="n">
        <v>0</v>
      </c>
      <c r="AT183" s="11" t="n">
        <v>0</v>
      </c>
      <c r="AU183" s="11" t="n">
        <v>0</v>
      </c>
      <c r="AV183" s="11" t="n">
        <v>0</v>
      </c>
      <c r="AW183" s="11" t="n">
        <v>0</v>
      </c>
      <c r="AX183" s="11" t="n">
        <v>0</v>
      </c>
      <c r="AY183" s="11" t="n">
        <v>0</v>
      </c>
      <c r="AZ183" s="11" t="n">
        <v>0</v>
      </c>
      <c r="BA183" s="11" t="n">
        <v>0</v>
      </c>
      <c r="BB183" s="11" t="n">
        <v>0</v>
      </c>
      <c r="BC183" s="11" t="n">
        <v>0</v>
      </c>
      <c r="BD183" s="11" t="n">
        <v>0</v>
      </c>
      <c r="BE183" s="11" t="n">
        <v>0</v>
      </c>
      <c r="BF183" s="11" t="n">
        <v>0</v>
      </c>
      <c r="BG183" s="11" t="n">
        <v>0</v>
      </c>
      <c r="BH183" s="11" t="n">
        <v>0</v>
      </c>
      <c r="BI183" s="11" t="n">
        <v>0</v>
      </c>
      <c r="BJ183" s="11" t="n">
        <v>0</v>
      </c>
      <c r="BK183" s="11" t="n">
        <v>0</v>
      </c>
      <c r="BL183" s="11" t="n">
        <v>0</v>
      </c>
      <c r="BM183" s="11" t="n">
        <v>0</v>
      </c>
      <c r="BN183" s="11" t="n">
        <v>0</v>
      </c>
      <c r="BO183" s="11" t="n">
        <v>0</v>
      </c>
      <c r="BP183" s="11" t="n">
        <v>0</v>
      </c>
      <c r="BQ183" s="11" t="n">
        <v>0</v>
      </c>
      <c r="BR183" s="11" t="n">
        <v>0</v>
      </c>
      <c r="BS183" s="11" t="n">
        <v>0</v>
      </c>
      <c r="BT183" s="11" t="n">
        <v>0</v>
      </c>
      <c r="BU183" s="11" t="n">
        <v>0</v>
      </c>
      <c r="BV183" s="11" t="n">
        <v>0</v>
      </c>
      <c r="BW183" s="11" t="n">
        <v>0</v>
      </c>
      <c r="BX183" s="11" t="n">
        <v>0</v>
      </c>
      <c r="BY183" s="11" t="n">
        <v>40</v>
      </c>
      <c r="BZ183" s="11" t="n">
        <v>0</v>
      </c>
      <c r="CA183" s="11" t="n">
        <v>0</v>
      </c>
      <c r="CB183" s="11" t="n">
        <v>0</v>
      </c>
      <c r="CC183" s="11" t="n">
        <v>0</v>
      </c>
      <c r="CD183" s="11" t="n">
        <v>0</v>
      </c>
      <c r="CE183" s="11" t="n">
        <v>0</v>
      </c>
    </row>
    <row r="184">
      <c r="A184" s="14" t="inlineStr">
        <is>
          <t>2026-03-18</t>
        </is>
      </c>
      <c r="B184" s="8" t="n">
        <v>0</v>
      </c>
      <c r="C184" s="8" t="n">
        <v>0</v>
      </c>
      <c r="D184" s="8" t="n">
        <v>0</v>
      </c>
      <c r="E184" s="8" t="n">
        <v>0</v>
      </c>
      <c r="F184" s="8" t="n">
        <v>0</v>
      </c>
      <c r="G184" s="8" t="n">
        <v>0</v>
      </c>
      <c r="H184" s="8" t="n">
        <v>0</v>
      </c>
      <c r="I184" s="8" t="n">
        <v>0</v>
      </c>
      <c r="J184" s="8" t="n">
        <v>0</v>
      </c>
      <c r="K184" s="8" t="n">
        <v>0</v>
      </c>
      <c r="L184" s="8" t="n">
        <v>0</v>
      </c>
      <c r="M184" s="8" t="n">
        <v>0</v>
      </c>
      <c r="N184" s="8" t="n">
        <v>0</v>
      </c>
      <c r="O184" s="8" t="n">
        <v>0</v>
      </c>
      <c r="P184" s="8" t="n">
        <v>0</v>
      </c>
      <c r="Q184" s="8" t="n">
        <v>0</v>
      </c>
      <c r="R184" s="8" t="n">
        <v>0</v>
      </c>
      <c r="S184" s="8" t="n">
        <v>0</v>
      </c>
      <c r="T184" s="8" t="n">
        <v>0</v>
      </c>
      <c r="U184" s="8" t="n">
        <v>0</v>
      </c>
      <c r="V184" s="8" t="n">
        <v>0</v>
      </c>
      <c r="W184" s="8" t="n">
        <v>0</v>
      </c>
      <c r="X184" s="8" t="n">
        <v>0</v>
      </c>
      <c r="Y184" s="8" t="n">
        <v>0</v>
      </c>
      <c r="Z184" s="8" t="n">
        <v>0</v>
      </c>
      <c r="AA184" s="8" t="n">
        <v>0</v>
      </c>
      <c r="AB184" s="8" t="n">
        <v>0</v>
      </c>
      <c r="AC184" s="8" t="n">
        <v>0</v>
      </c>
      <c r="AD184" s="8" t="n">
        <v>10</v>
      </c>
      <c r="AE184" s="8" t="n">
        <v>0</v>
      </c>
      <c r="AF184" s="8" t="n">
        <v>0</v>
      </c>
      <c r="AG184" s="8" t="n">
        <v>0</v>
      </c>
      <c r="AH184" s="8" t="n">
        <v>0</v>
      </c>
      <c r="AI184" s="8" t="n">
        <v>0</v>
      </c>
      <c r="AJ184" s="8" t="n">
        <v>0</v>
      </c>
      <c r="AK184" s="8" t="n">
        <v>0</v>
      </c>
      <c r="AL184" s="8" t="n">
        <v>0</v>
      </c>
      <c r="AM184" s="8" t="n">
        <v>0</v>
      </c>
      <c r="AN184" s="8" t="n">
        <v>0</v>
      </c>
      <c r="AO184" s="8" t="n">
        <v>0</v>
      </c>
      <c r="AP184" s="8" t="n">
        <v>0</v>
      </c>
      <c r="AQ184" s="8" t="n">
        <v>0</v>
      </c>
      <c r="AR184" s="8" t="n">
        <v>0</v>
      </c>
      <c r="AS184" s="8" t="n">
        <v>0</v>
      </c>
      <c r="AT184" s="8" t="n">
        <v>0</v>
      </c>
      <c r="AU184" s="8" t="n">
        <v>0</v>
      </c>
      <c r="AV184" s="8" t="n">
        <v>0</v>
      </c>
      <c r="AW184" s="8" t="n">
        <v>0</v>
      </c>
      <c r="AX184" s="8" t="n">
        <v>0</v>
      </c>
      <c r="AY184" s="8" t="n">
        <v>0</v>
      </c>
      <c r="AZ184" s="8" t="n">
        <v>0</v>
      </c>
      <c r="BA184" s="8" t="n">
        <v>0</v>
      </c>
      <c r="BB184" s="8" t="n">
        <v>0</v>
      </c>
      <c r="BC184" s="8" t="n">
        <v>0</v>
      </c>
      <c r="BD184" s="8" t="n">
        <v>0</v>
      </c>
      <c r="BE184" s="8" t="n">
        <v>0</v>
      </c>
      <c r="BF184" s="8" t="n">
        <v>0</v>
      </c>
      <c r="BG184" s="8" t="n">
        <v>0</v>
      </c>
      <c r="BH184" s="8" t="n">
        <v>0</v>
      </c>
      <c r="BI184" s="8" t="n">
        <v>0</v>
      </c>
      <c r="BJ184" s="8" t="n">
        <v>0</v>
      </c>
      <c r="BK184" s="8" t="n">
        <v>0</v>
      </c>
      <c r="BL184" s="8" t="n">
        <v>0</v>
      </c>
      <c r="BM184" s="8" t="n">
        <v>0</v>
      </c>
      <c r="BN184" s="8" t="n">
        <v>0</v>
      </c>
      <c r="BO184" s="8" t="n">
        <v>0</v>
      </c>
      <c r="BP184" s="8" t="n">
        <v>0</v>
      </c>
      <c r="BQ184" s="8" t="n">
        <v>0</v>
      </c>
      <c r="BR184" s="8" t="n">
        <v>0</v>
      </c>
      <c r="BS184" s="8" t="n">
        <v>0</v>
      </c>
      <c r="BT184" s="8" t="n">
        <v>0</v>
      </c>
      <c r="BU184" s="8" t="n">
        <v>0</v>
      </c>
      <c r="BV184" s="8" t="n">
        <v>0</v>
      </c>
      <c r="BW184" s="8" t="n">
        <v>0</v>
      </c>
      <c r="BX184" s="8" t="n">
        <v>0</v>
      </c>
      <c r="BY184" s="8" t="n">
        <v>40</v>
      </c>
      <c r="BZ184" s="8" t="n">
        <v>0</v>
      </c>
      <c r="CA184" s="8" t="n">
        <v>0</v>
      </c>
      <c r="CB184" s="8" t="n">
        <v>0</v>
      </c>
      <c r="CC184" s="8" t="n">
        <v>0</v>
      </c>
      <c r="CD184" s="8" t="n">
        <v>0</v>
      </c>
      <c r="CE184" s="8" t="n">
        <v>0</v>
      </c>
    </row>
    <row r="185">
      <c r="A185" s="15" t="inlineStr">
        <is>
          <t>2026-03-19</t>
        </is>
      </c>
      <c r="B185" s="11" t="n">
        <v>0</v>
      </c>
      <c r="C185" s="11" t="n">
        <v>0</v>
      </c>
      <c r="D185" s="11" t="n">
        <v>0</v>
      </c>
      <c r="E185" s="11" t="n">
        <v>0</v>
      </c>
      <c r="F185" s="11" t="n">
        <v>0</v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  <c r="P185" s="11" t="n">
        <v>0</v>
      </c>
      <c r="Q185" s="11" t="n">
        <v>0</v>
      </c>
      <c r="R185" s="11" t="n">
        <v>0</v>
      </c>
      <c r="S185" s="11" t="n">
        <v>0</v>
      </c>
      <c r="T185" s="11" t="n">
        <v>0</v>
      </c>
      <c r="U185" s="11" t="n">
        <v>0</v>
      </c>
      <c r="V185" s="11" t="n">
        <v>0</v>
      </c>
      <c r="W185" s="11" t="n">
        <v>0</v>
      </c>
      <c r="X185" s="11" t="n">
        <v>0</v>
      </c>
      <c r="Y185" s="11" t="n">
        <v>0</v>
      </c>
      <c r="Z185" s="11" t="n">
        <v>0</v>
      </c>
      <c r="AA185" s="11" t="n">
        <v>0</v>
      </c>
      <c r="AB185" s="11" t="n">
        <v>0</v>
      </c>
      <c r="AC185" s="11" t="n">
        <v>0</v>
      </c>
      <c r="AD185" s="11" t="n">
        <v>20</v>
      </c>
      <c r="AE185" s="11" t="n">
        <v>0</v>
      </c>
      <c r="AF185" s="11" t="n">
        <v>0</v>
      </c>
      <c r="AG185" s="11" t="n">
        <v>0</v>
      </c>
      <c r="AH185" s="11" t="n">
        <v>0</v>
      </c>
      <c r="AI185" s="11" t="n">
        <v>0</v>
      </c>
      <c r="AJ185" s="11" t="n">
        <v>0</v>
      </c>
      <c r="AK185" s="11" t="n">
        <v>0</v>
      </c>
      <c r="AL185" s="11" t="n">
        <v>0</v>
      </c>
      <c r="AM185" s="11" t="n">
        <v>0</v>
      </c>
      <c r="AN185" s="11" t="n">
        <v>0</v>
      </c>
      <c r="AO185" s="11" t="n">
        <v>0</v>
      </c>
      <c r="AP185" s="11" t="n">
        <v>0</v>
      </c>
      <c r="AQ185" s="11" t="n">
        <v>0</v>
      </c>
      <c r="AR185" s="11" t="n">
        <v>0</v>
      </c>
      <c r="AS185" s="11" t="n">
        <v>0</v>
      </c>
      <c r="AT185" s="11" t="n">
        <v>0</v>
      </c>
      <c r="AU185" s="11" t="n">
        <v>0</v>
      </c>
      <c r="AV185" s="11" t="n">
        <v>0</v>
      </c>
      <c r="AW185" s="11" t="n">
        <v>0</v>
      </c>
      <c r="AX185" s="11" t="n">
        <v>0</v>
      </c>
      <c r="AY185" s="11" t="n">
        <v>0</v>
      </c>
      <c r="AZ185" s="11" t="n">
        <v>0</v>
      </c>
      <c r="BA185" s="11" t="n">
        <v>0</v>
      </c>
      <c r="BB185" s="11" t="n">
        <v>0</v>
      </c>
      <c r="BC185" s="11" t="n">
        <v>0</v>
      </c>
      <c r="BD185" s="11" t="n">
        <v>0</v>
      </c>
      <c r="BE185" s="11" t="n">
        <v>0</v>
      </c>
      <c r="BF185" s="11" t="n">
        <v>0</v>
      </c>
      <c r="BG185" s="11" t="n">
        <v>0</v>
      </c>
      <c r="BH185" s="11" t="n">
        <v>0</v>
      </c>
      <c r="BI185" s="11" t="n">
        <v>0</v>
      </c>
      <c r="BJ185" s="11" t="n">
        <v>0</v>
      </c>
      <c r="BK185" s="11" t="n">
        <v>0</v>
      </c>
      <c r="BL185" s="11" t="n">
        <v>0</v>
      </c>
      <c r="BM185" s="11" t="n">
        <v>0</v>
      </c>
      <c r="BN185" s="11" t="n">
        <v>0</v>
      </c>
      <c r="BO185" s="11" t="n">
        <v>0</v>
      </c>
      <c r="BP185" s="11" t="n">
        <v>0</v>
      </c>
      <c r="BQ185" s="11" t="n">
        <v>0</v>
      </c>
      <c r="BR185" s="11" t="n">
        <v>0</v>
      </c>
      <c r="BS185" s="11" t="n">
        <v>0</v>
      </c>
      <c r="BT185" s="11" t="n">
        <v>0</v>
      </c>
      <c r="BU185" s="11" t="n">
        <v>0</v>
      </c>
      <c r="BV185" s="11" t="n">
        <v>0</v>
      </c>
      <c r="BW185" s="11" t="n">
        <v>0</v>
      </c>
      <c r="BX185" s="11" t="n">
        <v>0</v>
      </c>
      <c r="BY185" s="11" t="n">
        <v>40</v>
      </c>
      <c r="BZ185" s="11" t="n">
        <v>0</v>
      </c>
      <c r="CA185" s="11" t="n">
        <v>0</v>
      </c>
      <c r="CB185" s="11" t="n">
        <v>0</v>
      </c>
      <c r="CC185" s="11" t="n">
        <v>0</v>
      </c>
      <c r="CD185" s="11" t="n">
        <v>0</v>
      </c>
      <c r="CE185" s="11" t="n">
        <v>0</v>
      </c>
    </row>
    <row r="186">
      <c r="A186" s="14" t="inlineStr">
        <is>
          <t>2026-03-20</t>
        </is>
      </c>
      <c r="B186" s="8" t="n">
        <v>0</v>
      </c>
      <c r="C186" s="8" t="n">
        <v>0</v>
      </c>
      <c r="D186" s="8" t="n">
        <v>0</v>
      </c>
      <c r="E186" s="8" t="n">
        <v>0</v>
      </c>
      <c r="F186" s="8" t="n">
        <v>0</v>
      </c>
      <c r="G186" s="8" t="n">
        <v>0</v>
      </c>
      <c r="H186" s="8" t="n">
        <v>0</v>
      </c>
      <c r="I186" s="8" t="n">
        <v>0</v>
      </c>
      <c r="J186" s="8" t="n">
        <v>0</v>
      </c>
      <c r="K186" s="8" t="n">
        <v>0</v>
      </c>
      <c r="L186" s="8" t="n">
        <v>0</v>
      </c>
      <c r="M186" s="8" t="n">
        <v>0</v>
      </c>
      <c r="N186" s="8" t="n">
        <v>0</v>
      </c>
      <c r="O186" s="8" t="n">
        <v>0</v>
      </c>
      <c r="P186" s="8" t="n">
        <v>0</v>
      </c>
      <c r="Q186" s="8" t="n">
        <v>0</v>
      </c>
      <c r="R186" s="8" t="n">
        <v>0</v>
      </c>
      <c r="S186" s="8" t="n">
        <v>0</v>
      </c>
      <c r="T186" s="8" t="n">
        <v>0</v>
      </c>
      <c r="U186" s="8" t="n">
        <v>0</v>
      </c>
      <c r="V186" s="8" t="n">
        <v>0</v>
      </c>
      <c r="W186" s="8" t="n">
        <v>0</v>
      </c>
      <c r="X186" s="8" t="n">
        <v>0</v>
      </c>
      <c r="Y186" s="8" t="n">
        <v>0</v>
      </c>
      <c r="Z186" s="8" t="n">
        <v>0</v>
      </c>
      <c r="AA186" s="8" t="n">
        <v>0</v>
      </c>
      <c r="AB186" s="8" t="n">
        <v>0</v>
      </c>
      <c r="AC186" s="8" t="n">
        <v>0</v>
      </c>
      <c r="AD186" s="8" t="n">
        <v>20</v>
      </c>
      <c r="AE186" s="8" t="n">
        <v>0</v>
      </c>
      <c r="AF186" s="8" t="n">
        <v>0</v>
      </c>
      <c r="AG186" s="8" t="n">
        <v>0</v>
      </c>
      <c r="AH186" s="8" t="n">
        <v>0</v>
      </c>
      <c r="AI186" s="8" t="n">
        <v>0</v>
      </c>
      <c r="AJ186" s="8" t="n">
        <v>0</v>
      </c>
      <c r="AK186" s="8" t="n">
        <v>0</v>
      </c>
      <c r="AL186" s="8" t="n">
        <v>0</v>
      </c>
      <c r="AM186" s="8" t="n">
        <v>0</v>
      </c>
      <c r="AN186" s="8" t="n">
        <v>0</v>
      </c>
      <c r="AO186" s="8" t="n">
        <v>0</v>
      </c>
      <c r="AP186" s="8" t="n">
        <v>0</v>
      </c>
      <c r="AQ186" s="8" t="n">
        <v>0</v>
      </c>
      <c r="AR186" s="8" t="n">
        <v>0</v>
      </c>
      <c r="AS186" s="8" t="n">
        <v>0</v>
      </c>
      <c r="AT186" s="8" t="n">
        <v>0</v>
      </c>
      <c r="AU186" s="8" t="n">
        <v>0</v>
      </c>
      <c r="AV186" s="8" t="n">
        <v>0</v>
      </c>
      <c r="AW186" s="8" t="n">
        <v>0</v>
      </c>
      <c r="AX186" s="8" t="n">
        <v>0</v>
      </c>
      <c r="AY186" s="8" t="n">
        <v>0</v>
      </c>
      <c r="AZ186" s="8" t="n">
        <v>0</v>
      </c>
      <c r="BA186" s="8" t="n">
        <v>0</v>
      </c>
      <c r="BB186" s="8" t="n">
        <v>0</v>
      </c>
      <c r="BC186" s="8" t="n">
        <v>0</v>
      </c>
      <c r="BD186" s="8" t="n">
        <v>0</v>
      </c>
      <c r="BE186" s="8" t="n">
        <v>0</v>
      </c>
      <c r="BF186" s="8" t="n">
        <v>0</v>
      </c>
      <c r="BG186" s="8" t="n">
        <v>0</v>
      </c>
      <c r="BH186" s="8" t="n">
        <v>0</v>
      </c>
      <c r="BI186" s="8" t="n">
        <v>0</v>
      </c>
      <c r="BJ186" s="8" t="n">
        <v>0</v>
      </c>
      <c r="BK186" s="8" t="n">
        <v>0</v>
      </c>
      <c r="BL186" s="8" t="n">
        <v>0</v>
      </c>
      <c r="BM186" s="8" t="n">
        <v>0</v>
      </c>
      <c r="BN186" s="8" t="n">
        <v>0</v>
      </c>
      <c r="BO186" s="8" t="n">
        <v>0</v>
      </c>
      <c r="BP186" s="8" t="n">
        <v>0</v>
      </c>
      <c r="BQ186" s="8" t="n">
        <v>2</v>
      </c>
      <c r="BR186" s="8" t="n">
        <v>0</v>
      </c>
      <c r="BS186" s="8" t="n">
        <v>0</v>
      </c>
      <c r="BT186" s="8" t="n">
        <v>10</v>
      </c>
      <c r="BU186" s="8" t="n">
        <v>0</v>
      </c>
      <c r="BV186" s="8" t="n">
        <v>0</v>
      </c>
      <c r="BW186" s="8" t="n">
        <v>0</v>
      </c>
      <c r="BX186" s="8" t="n">
        <v>0</v>
      </c>
      <c r="BY186" s="8" t="n">
        <v>40</v>
      </c>
      <c r="BZ186" s="8" t="n">
        <v>0</v>
      </c>
      <c r="CA186" s="8" t="n">
        <v>0</v>
      </c>
      <c r="CB186" s="8" t="n">
        <v>0</v>
      </c>
      <c r="CC186" s="8" t="n">
        <v>0</v>
      </c>
      <c r="CD186" s="8" t="n">
        <v>0</v>
      </c>
      <c r="CE186" s="8" t="n">
        <v>0</v>
      </c>
    </row>
    <row r="187">
      <c r="A187" s="15" t="inlineStr">
        <is>
          <t>2026-03-23</t>
        </is>
      </c>
      <c r="B187" s="11" t="n">
        <v>4</v>
      </c>
      <c r="C187" s="11" t="n">
        <v>0</v>
      </c>
      <c r="D187" s="11" t="n">
        <v>0</v>
      </c>
      <c r="E187" s="11" t="n">
        <v>0</v>
      </c>
      <c r="F187" s="11" t="n">
        <v>0</v>
      </c>
      <c r="G187" s="11" t="n">
        <v>0</v>
      </c>
      <c r="H187" s="11" t="n">
        <v>0</v>
      </c>
      <c r="I187" s="11" t="n">
        <v>0</v>
      </c>
      <c r="J187" s="11" t="n">
        <v>0</v>
      </c>
      <c r="K187" s="11" t="n">
        <v>0</v>
      </c>
      <c r="L187" s="11" t="n">
        <v>0</v>
      </c>
      <c r="M187" s="11" t="n">
        <v>0</v>
      </c>
      <c r="N187" s="11" t="n">
        <v>0</v>
      </c>
      <c r="O187" s="11" t="n">
        <v>0</v>
      </c>
      <c r="P187" s="11" t="n">
        <v>0</v>
      </c>
      <c r="Q187" s="11" t="n">
        <v>0</v>
      </c>
      <c r="R187" s="11" t="n">
        <v>0</v>
      </c>
      <c r="S187" s="11" t="n">
        <v>0</v>
      </c>
      <c r="T187" s="11" t="n">
        <v>0</v>
      </c>
      <c r="U187" s="11" t="n">
        <v>0</v>
      </c>
      <c r="V187" s="11" t="n">
        <v>0</v>
      </c>
      <c r="W187" s="11" t="n">
        <v>0</v>
      </c>
      <c r="X187" s="11" t="n">
        <v>0</v>
      </c>
      <c r="Y187" s="11" t="n">
        <v>0</v>
      </c>
      <c r="Z187" s="11" t="n">
        <v>0</v>
      </c>
      <c r="AA187" s="11" t="n">
        <v>0</v>
      </c>
      <c r="AB187" s="11" t="n">
        <v>0</v>
      </c>
      <c r="AC187" s="11" t="n">
        <v>0</v>
      </c>
      <c r="AD187" s="11" t="n">
        <v>20</v>
      </c>
      <c r="AE187" s="11" t="n">
        <v>0</v>
      </c>
      <c r="AF187" s="11" t="n">
        <v>0</v>
      </c>
      <c r="AG187" s="11" t="n">
        <v>0</v>
      </c>
      <c r="AH187" s="11" t="n">
        <v>2</v>
      </c>
      <c r="AI187" s="11" t="n">
        <v>0</v>
      </c>
      <c r="AJ187" s="11" t="n">
        <v>0</v>
      </c>
      <c r="AK187" s="11" t="n">
        <v>0</v>
      </c>
      <c r="AL187" s="11" t="n">
        <v>0</v>
      </c>
      <c r="AM187" s="11" t="n">
        <v>0</v>
      </c>
      <c r="AN187" s="11" t="n">
        <v>0</v>
      </c>
      <c r="AO187" s="11" t="n">
        <v>0</v>
      </c>
      <c r="AP187" s="11" t="n">
        <v>0</v>
      </c>
      <c r="AQ187" s="11" t="n">
        <v>0</v>
      </c>
      <c r="AR187" s="11" t="n">
        <v>0</v>
      </c>
      <c r="AS187" s="11" t="n">
        <v>0</v>
      </c>
      <c r="AT187" s="11" t="n">
        <v>0</v>
      </c>
      <c r="AU187" s="11" t="n">
        <v>0</v>
      </c>
      <c r="AV187" s="11" t="n">
        <v>0</v>
      </c>
      <c r="AW187" s="11" t="n">
        <v>0</v>
      </c>
      <c r="AX187" s="11" t="n">
        <v>0</v>
      </c>
      <c r="AY187" s="11" t="n">
        <v>0</v>
      </c>
      <c r="AZ187" s="11" t="n">
        <v>0</v>
      </c>
      <c r="BA187" s="11" t="n">
        <v>0</v>
      </c>
      <c r="BB187" s="11" t="n">
        <v>0</v>
      </c>
      <c r="BC187" s="11" t="n">
        <v>0</v>
      </c>
      <c r="BD187" s="11" t="n">
        <v>0</v>
      </c>
      <c r="BE187" s="11" t="n">
        <v>0</v>
      </c>
      <c r="BF187" s="11" t="n">
        <v>0</v>
      </c>
      <c r="BG187" s="11" t="n">
        <v>0</v>
      </c>
      <c r="BH187" s="11" t="n">
        <v>0</v>
      </c>
      <c r="BI187" s="11" t="n">
        <v>0</v>
      </c>
      <c r="BJ187" s="11" t="n">
        <v>0</v>
      </c>
      <c r="BK187" s="11" t="n">
        <v>0</v>
      </c>
      <c r="BL187" s="11" t="n">
        <v>0</v>
      </c>
      <c r="BM187" s="11" t="n">
        <v>0</v>
      </c>
      <c r="BN187" s="11" t="n">
        <v>6</v>
      </c>
      <c r="BO187" s="11" t="n">
        <v>0</v>
      </c>
      <c r="BP187" s="11" t="n">
        <v>0</v>
      </c>
      <c r="BQ187" s="11" t="n">
        <v>0</v>
      </c>
      <c r="BR187" s="11" t="n">
        <v>0</v>
      </c>
      <c r="BS187" s="11" t="n">
        <v>0</v>
      </c>
      <c r="BT187" s="11" t="n">
        <v>0</v>
      </c>
      <c r="BU187" s="11" t="n">
        <v>4</v>
      </c>
      <c r="BV187" s="11" t="n">
        <v>0</v>
      </c>
      <c r="BW187" s="11" t="n">
        <v>0</v>
      </c>
      <c r="BX187" s="11" t="n">
        <v>0</v>
      </c>
      <c r="BY187" s="11" t="n">
        <v>40</v>
      </c>
      <c r="BZ187" s="11" t="n">
        <v>0</v>
      </c>
      <c r="CA187" s="11" t="n">
        <v>0</v>
      </c>
      <c r="CB187" s="11" t="n">
        <v>0</v>
      </c>
      <c r="CC187" s="11" t="n">
        <v>0</v>
      </c>
      <c r="CD187" s="11" t="n">
        <v>0</v>
      </c>
      <c r="CE187" s="11" t="n">
        <v>0</v>
      </c>
    </row>
    <row r="188">
      <c r="A188" s="14" t="inlineStr">
        <is>
          <t>2026-03-24</t>
        </is>
      </c>
      <c r="B188" s="8" t="n">
        <v>4</v>
      </c>
      <c r="C188" s="8" t="n">
        <v>0</v>
      </c>
      <c r="D188" s="8" t="n">
        <v>0</v>
      </c>
      <c r="E188" s="8" t="n">
        <v>0</v>
      </c>
      <c r="F188" s="8" t="n">
        <v>0</v>
      </c>
      <c r="G188" s="8" t="n">
        <v>0</v>
      </c>
      <c r="H188" s="8" t="n">
        <v>0</v>
      </c>
      <c r="I188" s="8" t="n">
        <v>0</v>
      </c>
      <c r="J188" s="8" t="n">
        <v>0</v>
      </c>
      <c r="K188" s="8" t="n">
        <v>0</v>
      </c>
      <c r="L188" s="8" t="n">
        <v>0</v>
      </c>
      <c r="M188" s="8" t="n">
        <v>0</v>
      </c>
      <c r="N188" s="8" t="n">
        <v>0</v>
      </c>
      <c r="O188" s="8" t="n">
        <v>0</v>
      </c>
      <c r="P188" s="8" t="n">
        <v>0</v>
      </c>
      <c r="Q188" s="8" t="n">
        <v>0</v>
      </c>
      <c r="R188" s="8" t="n">
        <v>0</v>
      </c>
      <c r="S188" s="8" t="n">
        <v>0</v>
      </c>
      <c r="T188" s="8" t="n">
        <v>0</v>
      </c>
      <c r="U188" s="8" t="n">
        <v>0</v>
      </c>
      <c r="V188" s="8" t="n">
        <v>0</v>
      </c>
      <c r="W188" s="8" t="n">
        <v>0</v>
      </c>
      <c r="X188" s="8" t="n">
        <v>0</v>
      </c>
      <c r="Y188" s="8" t="n">
        <v>0</v>
      </c>
      <c r="Z188" s="8" t="n">
        <v>0</v>
      </c>
      <c r="AA188" s="8" t="n">
        <v>0</v>
      </c>
      <c r="AB188" s="8" t="n">
        <v>0</v>
      </c>
      <c r="AC188" s="8" t="n">
        <v>0</v>
      </c>
      <c r="AD188" s="8" t="n">
        <v>20</v>
      </c>
      <c r="AE188" s="8" t="n">
        <v>0</v>
      </c>
      <c r="AF188" s="8" t="n">
        <v>0</v>
      </c>
      <c r="AG188" s="8" t="n">
        <v>0</v>
      </c>
      <c r="AH188" s="8" t="n">
        <v>0</v>
      </c>
      <c r="AI188" s="8" t="n">
        <v>0</v>
      </c>
      <c r="AJ188" s="8" t="n">
        <v>0</v>
      </c>
      <c r="AK188" s="8" t="n">
        <v>0</v>
      </c>
      <c r="AL188" s="8" t="n">
        <v>0</v>
      </c>
      <c r="AM188" s="8" t="n">
        <v>0</v>
      </c>
      <c r="AN188" s="8" t="n">
        <v>0</v>
      </c>
      <c r="AO188" s="8" t="n">
        <v>0</v>
      </c>
      <c r="AP188" s="8" t="n">
        <v>0</v>
      </c>
      <c r="AQ188" s="8" t="n">
        <v>0</v>
      </c>
      <c r="AR188" s="8" t="n">
        <v>0</v>
      </c>
      <c r="AS188" s="8" t="n">
        <v>0</v>
      </c>
      <c r="AT188" s="8" t="n">
        <v>0</v>
      </c>
      <c r="AU188" s="8" t="n">
        <v>0</v>
      </c>
      <c r="AV188" s="8" t="n">
        <v>0</v>
      </c>
      <c r="AW188" s="8" t="n">
        <v>0</v>
      </c>
      <c r="AX188" s="8" t="n">
        <v>0</v>
      </c>
      <c r="AY188" s="8" t="n">
        <v>0</v>
      </c>
      <c r="AZ188" s="8" t="n">
        <v>0</v>
      </c>
      <c r="BA188" s="8" t="n">
        <v>0</v>
      </c>
      <c r="BB188" s="8" t="n">
        <v>0</v>
      </c>
      <c r="BC188" s="8" t="n">
        <v>0</v>
      </c>
      <c r="BD188" s="8" t="n">
        <v>0</v>
      </c>
      <c r="BE188" s="8" t="n">
        <v>0</v>
      </c>
      <c r="BF188" s="8" t="n">
        <v>0</v>
      </c>
      <c r="BG188" s="8" t="n">
        <v>0</v>
      </c>
      <c r="BH188" s="8" t="n">
        <v>0</v>
      </c>
      <c r="BI188" s="8" t="n">
        <v>0</v>
      </c>
      <c r="BJ188" s="8" t="n">
        <v>0</v>
      </c>
      <c r="BK188" s="8" t="n">
        <v>0</v>
      </c>
      <c r="BL188" s="8" t="n">
        <v>0</v>
      </c>
      <c r="BM188" s="8" t="n">
        <v>0</v>
      </c>
      <c r="BN188" s="8" t="n">
        <v>0</v>
      </c>
      <c r="BO188" s="8" t="n">
        <v>0</v>
      </c>
      <c r="BP188" s="8" t="n">
        <v>0</v>
      </c>
      <c r="BQ188" s="8" t="n">
        <v>0</v>
      </c>
      <c r="BR188" s="8" t="n">
        <v>0</v>
      </c>
      <c r="BS188" s="8" t="n">
        <v>0</v>
      </c>
      <c r="BT188" s="8" t="n">
        <v>0</v>
      </c>
      <c r="BU188" s="8" t="n">
        <v>0</v>
      </c>
      <c r="BV188" s="8" t="n">
        <v>0</v>
      </c>
      <c r="BW188" s="8" t="n">
        <v>0</v>
      </c>
      <c r="BX188" s="8" t="n">
        <v>0</v>
      </c>
      <c r="BY188" s="8" t="n">
        <v>40</v>
      </c>
      <c r="BZ188" s="8" t="n">
        <v>0</v>
      </c>
      <c r="CA188" s="8" t="n">
        <v>0</v>
      </c>
      <c r="CB188" s="8" t="n">
        <v>0</v>
      </c>
      <c r="CC188" s="8" t="n">
        <v>0</v>
      </c>
      <c r="CD188" s="8" t="n">
        <v>0</v>
      </c>
      <c r="CE188" s="8" t="n">
        <v>0</v>
      </c>
    </row>
    <row r="189">
      <c r="A189" s="15" t="inlineStr">
        <is>
          <t>2026-03-25</t>
        </is>
      </c>
      <c r="B189" s="11" t="n">
        <v>4</v>
      </c>
      <c r="C189" s="11" t="n">
        <v>0</v>
      </c>
      <c r="D189" s="11" t="n">
        <v>0</v>
      </c>
      <c r="E189" s="11" t="n">
        <v>0</v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  <c r="P189" s="11" t="n">
        <v>0</v>
      </c>
      <c r="Q189" s="11" t="n">
        <v>0</v>
      </c>
      <c r="R189" s="11" t="n">
        <v>0</v>
      </c>
      <c r="S189" s="11" t="n">
        <v>0</v>
      </c>
      <c r="T189" s="11" t="n">
        <v>0</v>
      </c>
      <c r="U189" s="11" t="n">
        <v>0</v>
      </c>
      <c r="V189" s="11" t="n">
        <v>0</v>
      </c>
      <c r="W189" s="11" t="n">
        <v>0</v>
      </c>
      <c r="X189" s="11" t="n">
        <v>0</v>
      </c>
      <c r="Y189" s="11" t="n">
        <v>0</v>
      </c>
      <c r="Z189" s="11" t="n">
        <v>450</v>
      </c>
      <c r="AA189" s="11" t="n">
        <v>100</v>
      </c>
      <c r="AB189" s="11" t="n">
        <v>40</v>
      </c>
      <c r="AC189" s="11" t="n">
        <v>0</v>
      </c>
      <c r="AD189" s="11" t="n">
        <v>20</v>
      </c>
      <c r="AE189" s="11" t="n">
        <v>0</v>
      </c>
      <c r="AF189" s="11" t="n">
        <v>0</v>
      </c>
      <c r="AG189" s="11" t="n">
        <v>0</v>
      </c>
      <c r="AH189" s="11" t="n">
        <v>2</v>
      </c>
      <c r="AI189" s="11" t="n">
        <v>0</v>
      </c>
      <c r="AJ189" s="11" t="n">
        <v>0</v>
      </c>
      <c r="AK189" s="11" t="n">
        <v>0</v>
      </c>
      <c r="AL189" s="11" t="n">
        <v>0</v>
      </c>
      <c r="AM189" s="11" t="n">
        <v>0</v>
      </c>
      <c r="AN189" s="11" t="n">
        <v>0</v>
      </c>
      <c r="AO189" s="11" t="n">
        <v>0</v>
      </c>
      <c r="AP189" s="11" t="n">
        <v>0</v>
      </c>
      <c r="AQ189" s="11" t="n">
        <v>0</v>
      </c>
      <c r="AR189" s="11" t="n">
        <v>0</v>
      </c>
      <c r="AS189" s="11" t="n">
        <v>0</v>
      </c>
      <c r="AT189" s="11" t="n">
        <v>0</v>
      </c>
      <c r="AU189" s="11" t="n">
        <v>0</v>
      </c>
      <c r="AV189" s="11" t="n">
        <v>0</v>
      </c>
      <c r="AW189" s="11" t="n">
        <v>0</v>
      </c>
      <c r="AX189" s="11" t="n">
        <v>0</v>
      </c>
      <c r="AY189" s="11" t="n">
        <v>0</v>
      </c>
      <c r="AZ189" s="11" t="n">
        <v>0</v>
      </c>
      <c r="BA189" s="11" t="n">
        <v>0</v>
      </c>
      <c r="BB189" s="11" t="n">
        <v>0</v>
      </c>
      <c r="BC189" s="11" t="n">
        <v>0</v>
      </c>
      <c r="BD189" s="11" t="n">
        <v>0</v>
      </c>
      <c r="BE189" s="11" t="n">
        <v>0</v>
      </c>
      <c r="BF189" s="11" t="n">
        <v>0</v>
      </c>
      <c r="BG189" s="11" t="n">
        <v>0</v>
      </c>
      <c r="BH189" s="11" t="n">
        <v>200</v>
      </c>
      <c r="BI189" s="11" t="n">
        <v>0</v>
      </c>
      <c r="BJ189" s="11" t="n">
        <v>0</v>
      </c>
      <c r="BK189" s="11" t="n">
        <v>0</v>
      </c>
      <c r="BL189" s="11" t="n">
        <v>0</v>
      </c>
      <c r="BM189" s="11" t="n">
        <v>0</v>
      </c>
      <c r="BN189" s="11" t="n">
        <v>10</v>
      </c>
      <c r="BO189" s="11" t="n">
        <v>0</v>
      </c>
      <c r="BP189" s="11" t="n">
        <v>0</v>
      </c>
      <c r="BQ189" s="11" t="n">
        <v>0</v>
      </c>
      <c r="BR189" s="11" t="n">
        <v>0</v>
      </c>
      <c r="BS189" s="11" t="n">
        <v>0</v>
      </c>
      <c r="BT189" s="11" t="n">
        <v>0</v>
      </c>
      <c r="BU189" s="11" t="n">
        <v>0</v>
      </c>
      <c r="BV189" s="11" t="n">
        <v>0</v>
      </c>
      <c r="BW189" s="11" t="n">
        <v>0</v>
      </c>
      <c r="BX189" s="11" t="n">
        <v>0</v>
      </c>
      <c r="BY189" s="11" t="n">
        <v>40</v>
      </c>
      <c r="BZ189" s="11" t="n">
        <v>0</v>
      </c>
      <c r="CA189" s="11" t="n">
        <v>0</v>
      </c>
      <c r="CB189" s="11" t="n">
        <v>0</v>
      </c>
      <c r="CC189" s="11" t="n">
        <v>0</v>
      </c>
      <c r="CD189" s="11" t="n">
        <v>0</v>
      </c>
      <c r="CE189" s="11" t="n">
        <v>0</v>
      </c>
    </row>
    <row r="190">
      <c r="A190" s="14" t="inlineStr">
        <is>
          <t>2026-03-26</t>
        </is>
      </c>
      <c r="B190" s="8" t="n">
        <v>4</v>
      </c>
      <c r="C190" s="8" t="n">
        <v>0</v>
      </c>
      <c r="D190" s="8" t="n">
        <v>0</v>
      </c>
      <c r="E190" s="8" t="n">
        <v>0</v>
      </c>
      <c r="F190" s="8" t="n">
        <v>0</v>
      </c>
      <c r="G190" s="8" t="n">
        <v>0</v>
      </c>
      <c r="H190" s="8" t="n">
        <v>0</v>
      </c>
      <c r="I190" s="8" t="n">
        <v>0</v>
      </c>
      <c r="J190" s="8" t="n">
        <v>0</v>
      </c>
      <c r="K190" s="8" t="n">
        <v>0</v>
      </c>
      <c r="L190" s="8" t="n">
        <v>0</v>
      </c>
      <c r="M190" s="8" t="n">
        <v>0</v>
      </c>
      <c r="N190" s="8" t="n">
        <v>0</v>
      </c>
      <c r="O190" s="8" t="n">
        <v>0</v>
      </c>
      <c r="P190" s="8" t="n">
        <v>0</v>
      </c>
      <c r="Q190" s="8" t="n">
        <v>0</v>
      </c>
      <c r="R190" s="8" t="n">
        <v>0</v>
      </c>
      <c r="S190" s="8" t="n">
        <v>0</v>
      </c>
      <c r="T190" s="8" t="n">
        <v>0</v>
      </c>
      <c r="U190" s="8" t="n">
        <v>0</v>
      </c>
      <c r="V190" s="8" t="n">
        <v>0</v>
      </c>
      <c r="W190" s="8" t="n">
        <v>0</v>
      </c>
      <c r="X190" s="8" t="n">
        <v>0</v>
      </c>
      <c r="Y190" s="8" t="n">
        <v>0</v>
      </c>
      <c r="Z190" s="8" t="n">
        <v>450</v>
      </c>
      <c r="AA190" s="8" t="n">
        <v>100</v>
      </c>
      <c r="AB190" s="8" t="n">
        <v>40</v>
      </c>
      <c r="AC190" s="8" t="n">
        <v>0</v>
      </c>
      <c r="AD190" s="8" t="n">
        <v>20</v>
      </c>
      <c r="AE190" s="8" t="n">
        <v>0</v>
      </c>
      <c r="AF190" s="8" t="n">
        <v>0</v>
      </c>
      <c r="AG190" s="8" t="n">
        <v>0</v>
      </c>
      <c r="AH190" s="8" t="n">
        <v>2</v>
      </c>
      <c r="AI190" s="8" t="n">
        <v>0</v>
      </c>
      <c r="AJ190" s="8" t="n">
        <v>0</v>
      </c>
      <c r="AK190" s="8" t="n">
        <v>0</v>
      </c>
      <c r="AL190" s="8" t="n">
        <v>0</v>
      </c>
      <c r="AM190" s="8" t="n">
        <v>0</v>
      </c>
      <c r="AN190" s="8" t="n">
        <v>0</v>
      </c>
      <c r="AO190" s="8" t="n">
        <v>0</v>
      </c>
      <c r="AP190" s="8" t="n">
        <v>0</v>
      </c>
      <c r="AQ190" s="8" t="n">
        <v>0</v>
      </c>
      <c r="AR190" s="8" t="n">
        <v>0</v>
      </c>
      <c r="AS190" s="8" t="n">
        <v>0</v>
      </c>
      <c r="AT190" s="8" t="n">
        <v>0</v>
      </c>
      <c r="AU190" s="8" t="n">
        <v>0</v>
      </c>
      <c r="AV190" s="8" t="n">
        <v>0</v>
      </c>
      <c r="AW190" s="8" t="n">
        <v>0</v>
      </c>
      <c r="AX190" s="8" t="n">
        <v>0</v>
      </c>
      <c r="AY190" s="8" t="n">
        <v>0</v>
      </c>
      <c r="AZ190" s="8" t="n">
        <v>0</v>
      </c>
      <c r="BA190" s="8" t="n">
        <v>0</v>
      </c>
      <c r="BB190" s="8" t="n">
        <v>0</v>
      </c>
      <c r="BC190" s="8" t="n">
        <v>0</v>
      </c>
      <c r="BD190" s="8" t="n">
        <v>0</v>
      </c>
      <c r="BE190" s="8" t="n">
        <v>0</v>
      </c>
      <c r="BF190" s="8" t="n">
        <v>0</v>
      </c>
      <c r="BG190" s="8" t="n">
        <v>0</v>
      </c>
      <c r="BH190" s="8" t="n">
        <v>200</v>
      </c>
      <c r="BI190" s="8" t="n">
        <v>0</v>
      </c>
      <c r="BJ190" s="8" t="n">
        <v>0</v>
      </c>
      <c r="BK190" s="8" t="n">
        <v>0</v>
      </c>
      <c r="BL190" s="8" t="n">
        <v>0</v>
      </c>
      <c r="BM190" s="8" t="n">
        <v>0</v>
      </c>
      <c r="BN190" s="8" t="n">
        <v>10</v>
      </c>
      <c r="BO190" s="8" t="n">
        <v>0</v>
      </c>
      <c r="BP190" s="8" t="n">
        <v>0</v>
      </c>
      <c r="BQ190" s="8" t="n">
        <v>0</v>
      </c>
      <c r="BR190" s="8" t="n">
        <v>0</v>
      </c>
      <c r="BS190" s="8" t="n">
        <v>0</v>
      </c>
      <c r="BT190" s="8" t="n">
        <v>0</v>
      </c>
      <c r="BU190" s="8" t="n">
        <v>0</v>
      </c>
      <c r="BV190" s="8" t="n">
        <v>0</v>
      </c>
      <c r="BW190" s="8" t="n">
        <v>0</v>
      </c>
      <c r="BX190" s="8" t="n">
        <v>0</v>
      </c>
      <c r="BY190" s="8" t="n">
        <v>40</v>
      </c>
      <c r="BZ190" s="8" t="n">
        <v>0</v>
      </c>
      <c r="CA190" s="8" t="n">
        <v>0</v>
      </c>
      <c r="CB190" s="8" t="n">
        <v>0</v>
      </c>
      <c r="CC190" s="8" t="n">
        <v>0</v>
      </c>
      <c r="CD190" s="8" t="n">
        <v>0</v>
      </c>
      <c r="CE190" s="8" t="n">
        <v>0</v>
      </c>
    </row>
    <row r="191">
      <c r="A191" s="15" t="inlineStr">
        <is>
          <t>2026-03-27</t>
        </is>
      </c>
      <c r="B191" s="11" t="n">
        <v>4</v>
      </c>
      <c r="C191" s="11" t="n">
        <v>0</v>
      </c>
      <c r="D191" s="11" t="n">
        <v>0</v>
      </c>
      <c r="E191" s="11" t="n">
        <v>0</v>
      </c>
      <c r="F191" s="11" t="n">
        <v>0</v>
      </c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  <c r="P191" s="11" t="n">
        <v>0</v>
      </c>
      <c r="Q191" s="11" t="n">
        <v>0</v>
      </c>
      <c r="R191" s="11" t="n">
        <v>0</v>
      </c>
      <c r="S191" s="11" t="n">
        <v>0</v>
      </c>
      <c r="T191" s="11" t="n">
        <v>0</v>
      </c>
      <c r="U191" s="11" t="n">
        <v>0</v>
      </c>
      <c r="V191" s="11" t="n">
        <v>0</v>
      </c>
      <c r="W191" s="11" t="n">
        <v>0</v>
      </c>
      <c r="X191" s="11" t="n">
        <v>0</v>
      </c>
      <c r="Y191" s="11" t="n">
        <v>0</v>
      </c>
      <c r="Z191" s="11" t="n">
        <v>450</v>
      </c>
      <c r="AA191" s="11" t="n">
        <v>100</v>
      </c>
      <c r="AB191" s="11" t="n">
        <v>40</v>
      </c>
      <c r="AC191" s="11" t="n">
        <v>0</v>
      </c>
      <c r="AD191" s="11" t="n">
        <v>20</v>
      </c>
      <c r="AE191" s="11" t="n">
        <v>0</v>
      </c>
      <c r="AF191" s="11" t="n">
        <v>0</v>
      </c>
      <c r="AG191" s="11" t="n">
        <v>0</v>
      </c>
      <c r="AH191" s="11" t="n">
        <v>2</v>
      </c>
      <c r="AI191" s="11" t="n">
        <v>0</v>
      </c>
      <c r="AJ191" s="11" t="n">
        <v>0</v>
      </c>
      <c r="AK191" s="11" t="n">
        <v>0</v>
      </c>
      <c r="AL191" s="11" t="n">
        <v>0</v>
      </c>
      <c r="AM191" s="11" t="n">
        <v>0</v>
      </c>
      <c r="AN191" s="11" t="n">
        <v>0</v>
      </c>
      <c r="AO191" s="11" t="n">
        <v>0</v>
      </c>
      <c r="AP191" s="11" t="n">
        <v>0</v>
      </c>
      <c r="AQ191" s="11" t="n">
        <v>0</v>
      </c>
      <c r="AR191" s="11" t="n">
        <v>0</v>
      </c>
      <c r="AS191" s="11" t="n">
        <v>0</v>
      </c>
      <c r="AT191" s="11" t="n">
        <v>0</v>
      </c>
      <c r="AU191" s="11" t="n">
        <v>0</v>
      </c>
      <c r="AV191" s="11" t="n">
        <v>0</v>
      </c>
      <c r="AW191" s="11" t="n">
        <v>0</v>
      </c>
      <c r="AX191" s="11" t="n">
        <v>0</v>
      </c>
      <c r="AY191" s="11" t="n">
        <v>0</v>
      </c>
      <c r="AZ191" s="11" t="n">
        <v>0</v>
      </c>
      <c r="BA191" s="11" t="n">
        <v>0</v>
      </c>
      <c r="BB191" s="11" t="n">
        <v>0</v>
      </c>
      <c r="BC191" s="11" t="n">
        <v>0</v>
      </c>
      <c r="BD191" s="11" t="n">
        <v>0</v>
      </c>
      <c r="BE191" s="11" t="n">
        <v>0</v>
      </c>
      <c r="BF191" s="11" t="n">
        <v>0</v>
      </c>
      <c r="BG191" s="11" t="n">
        <v>0</v>
      </c>
      <c r="BH191" s="11" t="n">
        <v>200</v>
      </c>
      <c r="BI191" s="11" t="n">
        <v>0</v>
      </c>
      <c r="BJ191" s="11" t="n">
        <v>0</v>
      </c>
      <c r="BK191" s="11" t="n">
        <v>0</v>
      </c>
      <c r="BL191" s="11" t="n">
        <v>0</v>
      </c>
      <c r="BM191" s="11" t="n">
        <v>0</v>
      </c>
      <c r="BN191" s="11" t="n">
        <v>10</v>
      </c>
      <c r="BO191" s="11" t="n">
        <v>0</v>
      </c>
      <c r="BP191" s="11" t="n">
        <v>0</v>
      </c>
      <c r="BQ191" s="11" t="n">
        <v>0</v>
      </c>
      <c r="BR191" s="11" t="n">
        <v>0</v>
      </c>
      <c r="BS191" s="11" t="n">
        <v>0</v>
      </c>
      <c r="BT191" s="11" t="n">
        <v>0</v>
      </c>
      <c r="BU191" s="11" t="n">
        <v>0</v>
      </c>
      <c r="BV191" s="11" t="n">
        <v>0</v>
      </c>
      <c r="BW191" s="11" t="n">
        <v>0</v>
      </c>
      <c r="BX191" s="11" t="n">
        <v>0</v>
      </c>
      <c r="BY191" s="11" t="n">
        <v>40</v>
      </c>
      <c r="BZ191" s="11" t="n">
        <v>0</v>
      </c>
      <c r="CA191" s="11" t="n">
        <v>0</v>
      </c>
      <c r="CB191" s="11" t="n">
        <v>0</v>
      </c>
      <c r="CC191" s="11" t="n">
        <v>0</v>
      </c>
      <c r="CD191" s="11" t="n">
        <v>0</v>
      </c>
      <c r="CE191" s="11" t="n">
        <v>0</v>
      </c>
    </row>
    <row r="192">
      <c r="A192" s="14" t="inlineStr">
        <is>
          <t>2026-03-30</t>
        </is>
      </c>
      <c r="B192" s="8" t="n">
        <v>4</v>
      </c>
      <c r="C192" s="8" t="n">
        <v>0</v>
      </c>
      <c r="D192" s="8" t="n">
        <v>0</v>
      </c>
      <c r="E192" s="8" t="n">
        <v>0</v>
      </c>
      <c r="F192" s="8" t="n">
        <v>0</v>
      </c>
      <c r="G192" s="8" t="n">
        <v>0</v>
      </c>
      <c r="H192" s="8" t="n">
        <v>0</v>
      </c>
      <c r="I192" s="8" t="n">
        <v>0</v>
      </c>
      <c r="J192" s="8" t="n">
        <v>0</v>
      </c>
      <c r="K192" s="8" t="n">
        <v>0</v>
      </c>
      <c r="L192" s="8" t="n">
        <v>0</v>
      </c>
      <c r="M192" s="8" t="n">
        <v>0</v>
      </c>
      <c r="N192" s="8" t="n">
        <v>0</v>
      </c>
      <c r="O192" s="8" t="n">
        <v>0</v>
      </c>
      <c r="P192" s="8" t="n">
        <v>0</v>
      </c>
      <c r="Q192" s="8" t="n">
        <v>0</v>
      </c>
      <c r="R192" s="8" t="n">
        <v>0</v>
      </c>
      <c r="S192" s="8" t="n">
        <v>20</v>
      </c>
      <c r="T192" s="8" t="n">
        <v>0</v>
      </c>
      <c r="U192" s="8" t="n">
        <v>0</v>
      </c>
      <c r="V192" s="8" t="n">
        <v>0</v>
      </c>
      <c r="W192" s="8" t="n">
        <v>0</v>
      </c>
      <c r="X192" s="8" t="n">
        <v>0</v>
      </c>
      <c r="Y192" s="8" t="n">
        <v>0</v>
      </c>
      <c r="Z192" s="8" t="n">
        <v>450</v>
      </c>
      <c r="AA192" s="8" t="n">
        <v>100</v>
      </c>
      <c r="AB192" s="8" t="n">
        <v>40</v>
      </c>
      <c r="AC192" s="8" t="n">
        <v>0</v>
      </c>
      <c r="AD192" s="8" t="n">
        <v>20</v>
      </c>
      <c r="AE192" s="8" t="n">
        <v>0</v>
      </c>
      <c r="AF192" s="8" t="n">
        <v>0</v>
      </c>
      <c r="AG192" s="8" t="n">
        <v>0</v>
      </c>
      <c r="AH192" s="8" t="n">
        <v>2</v>
      </c>
      <c r="AI192" s="8" t="n">
        <v>0</v>
      </c>
      <c r="AJ192" s="8" t="n">
        <v>0</v>
      </c>
      <c r="AK192" s="8" t="n">
        <v>0</v>
      </c>
      <c r="AL192" s="8" t="n">
        <v>0</v>
      </c>
      <c r="AM192" s="8" t="n">
        <v>0</v>
      </c>
      <c r="AN192" s="8" t="n">
        <v>0</v>
      </c>
      <c r="AO192" s="8" t="n">
        <v>0</v>
      </c>
      <c r="AP192" s="8" t="n">
        <v>0</v>
      </c>
      <c r="AQ192" s="8" t="n">
        <v>0</v>
      </c>
      <c r="AR192" s="8" t="n">
        <v>0</v>
      </c>
      <c r="AS192" s="8" t="n">
        <v>0</v>
      </c>
      <c r="AT192" s="8" t="n">
        <v>0</v>
      </c>
      <c r="AU192" s="8" t="n">
        <v>0</v>
      </c>
      <c r="AV192" s="8" t="n">
        <v>0</v>
      </c>
      <c r="AW192" s="8" t="n">
        <v>0</v>
      </c>
      <c r="AX192" s="8" t="n">
        <v>0</v>
      </c>
      <c r="AY192" s="8" t="n">
        <v>0</v>
      </c>
      <c r="AZ192" s="8" t="n">
        <v>0</v>
      </c>
      <c r="BA192" s="8" t="n">
        <v>0</v>
      </c>
      <c r="BB192" s="8" t="n">
        <v>0</v>
      </c>
      <c r="BC192" s="8" t="n">
        <v>0</v>
      </c>
      <c r="BD192" s="8" t="n">
        <v>0</v>
      </c>
      <c r="BE192" s="8" t="n">
        <v>0</v>
      </c>
      <c r="BF192" s="8" t="n">
        <v>0</v>
      </c>
      <c r="BG192" s="8" t="n">
        <v>0</v>
      </c>
      <c r="BH192" s="8" t="n">
        <v>200</v>
      </c>
      <c r="BI192" s="8" t="n">
        <v>0</v>
      </c>
      <c r="BJ192" s="8" t="n">
        <v>0</v>
      </c>
      <c r="BK192" s="8" t="n">
        <v>0</v>
      </c>
      <c r="BL192" s="8" t="n">
        <v>0</v>
      </c>
      <c r="BM192" s="8" t="n">
        <v>0</v>
      </c>
      <c r="BN192" s="8" t="n">
        <v>10</v>
      </c>
      <c r="BO192" s="8" t="n">
        <v>0</v>
      </c>
      <c r="BP192" s="8" t="n">
        <v>0</v>
      </c>
      <c r="BQ192" s="8" t="n">
        <v>0</v>
      </c>
      <c r="BR192" s="8" t="n">
        <v>0</v>
      </c>
      <c r="BS192" s="8" t="n">
        <v>0</v>
      </c>
      <c r="BT192" s="8" t="n">
        <v>0</v>
      </c>
      <c r="BU192" s="8" t="n">
        <v>0</v>
      </c>
      <c r="BV192" s="8" t="n">
        <v>0</v>
      </c>
      <c r="BW192" s="8" t="n">
        <v>0</v>
      </c>
      <c r="BX192" s="8" t="n">
        <v>0</v>
      </c>
      <c r="BY192" s="8" t="n">
        <v>40</v>
      </c>
      <c r="BZ192" s="8" t="n">
        <v>0</v>
      </c>
      <c r="CA192" s="8" t="n">
        <v>0</v>
      </c>
      <c r="CB192" s="8" t="n">
        <v>20</v>
      </c>
      <c r="CC192" s="8" t="n">
        <v>0</v>
      </c>
      <c r="CD192" s="8" t="n">
        <v>0</v>
      </c>
      <c r="CE192" s="8" t="n">
        <v>0</v>
      </c>
    </row>
    <row r="193">
      <c r="A193" s="15" t="inlineStr">
        <is>
          <t>2026-03-31</t>
        </is>
      </c>
      <c r="B193" s="11" t="n">
        <v>4</v>
      </c>
      <c r="C193" s="11" t="n">
        <v>0</v>
      </c>
      <c r="D193" s="11" t="n">
        <v>0</v>
      </c>
      <c r="E193" s="11" t="n">
        <v>0</v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  <c r="P193" s="11" t="n">
        <v>0</v>
      </c>
      <c r="Q193" s="11" t="n">
        <v>0</v>
      </c>
      <c r="R193" s="11" t="n">
        <v>0</v>
      </c>
      <c r="S193" s="11" t="n">
        <v>20</v>
      </c>
      <c r="T193" s="11" t="n">
        <v>0</v>
      </c>
      <c r="U193" s="11" t="n">
        <v>0</v>
      </c>
      <c r="V193" s="11" t="n">
        <v>0</v>
      </c>
      <c r="W193" s="11" t="n">
        <v>0</v>
      </c>
      <c r="X193" s="11" t="n">
        <v>0</v>
      </c>
      <c r="Y193" s="11" t="n">
        <v>0</v>
      </c>
      <c r="Z193" s="11" t="n">
        <v>450</v>
      </c>
      <c r="AA193" s="11" t="n">
        <v>100</v>
      </c>
      <c r="AB193" s="11" t="n">
        <v>40</v>
      </c>
      <c r="AC193" s="11" t="n">
        <v>0</v>
      </c>
      <c r="AD193" s="11" t="n">
        <v>20</v>
      </c>
      <c r="AE193" s="11" t="n">
        <v>0</v>
      </c>
      <c r="AF193" s="11" t="n">
        <v>0</v>
      </c>
      <c r="AG193" s="11" t="n">
        <v>0</v>
      </c>
      <c r="AH193" s="11" t="n">
        <v>4</v>
      </c>
      <c r="AI193" s="11" t="n">
        <v>0</v>
      </c>
      <c r="AJ193" s="11" t="n">
        <v>0</v>
      </c>
      <c r="AK193" s="11" t="n">
        <v>0</v>
      </c>
      <c r="AL193" s="11" t="n">
        <v>0</v>
      </c>
      <c r="AM193" s="11" t="n">
        <v>0</v>
      </c>
      <c r="AN193" s="11" t="n">
        <v>0</v>
      </c>
      <c r="AO193" s="11" t="n">
        <v>0</v>
      </c>
      <c r="AP193" s="11" t="n">
        <v>0</v>
      </c>
      <c r="AQ193" s="11" t="n">
        <v>0</v>
      </c>
      <c r="AR193" s="11" t="n">
        <v>0</v>
      </c>
      <c r="AS193" s="11" t="n">
        <v>0</v>
      </c>
      <c r="AT193" s="11" t="n">
        <v>0</v>
      </c>
      <c r="AU193" s="11" t="n">
        <v>0</v>
      </c>
      <c r="AV193" s="11" t="n">
        <v>0</v>
      </c>
      <c r="AW193" s="11" t="n">
        <v>0</v>
      </c>
      <c r="AX193" s="11" t="n">
        <v>0</v>
      </c>
      <c r="AY193" s="11" t="n">
        <v>0</v>
      </c>
      <c r="AZ193" s="11" t="n">
        <v>0</v>
      </c>
      <c r="BA193" s="11" t="n">
        <v>0</v>
      </c>
      <c r="BB193" s="11" t="n">
        <v>0</v>
      </c>
      <c r="BC193" s="11" t="n">
        <v>0</v>
      </c>
      <c r="BD193" s="11" t="n">
        <v>0</v>
      </c>
      <c r="BE193" s="11" t="n">
        <v>0</v>
      </c>
      <c r="BF193" s="11" t="n">
        <v>0</v>
      </c>
      <c r="BG193" s="11" t="n">
        <v>0</v>
      </c>
      <c r="BH193" s="11" t="n">
        <v>200</v>
      </c>
      <c r="BI193" s="11" t="n">
        <v>0</v>
      </c>
      <c r="BJ193" s="11" t="n">
        <v>0</v>
      </c>
      <c r="BK193" s="11" t="n">
        <v>0</v>
      </c>
      <c r="BL193" s="11" t="n">
        <v>0</v>
      </c>
      <c r="BM193" s="11" t="n">
        <v>0</v>
      </c>
      <c r="BN193" s="11" t="n">
        <v>10</v>
      </c>
      <c r="BO193" s="11" t="n">
        <v>0</v>
      </c>
      <c r="BP193" s="11" t="n">
        <v>0</v>
      </c>
      <c r="BQ193" s="11" t="n">
        <v>0</v>
      </c>
      <c r="BR193" s="11" t="n">
        <v>0</v>
      </c>
      <c r="BS193" s="11" t="n">
        <v>0</v>
      </c>
      <c r="BT193" s="11" t="n">
        <v>0</v>
      </c>
      <c r="BU193" s="11" t="n">
        <v>0</v>
      </c>
      <c r="BV193" s="11" t="n">
        <v>0</v>
      </c>
      <c r="BW193" s="11" t="n">
        <v>0</v>
      </c>
      <c r="BX193" s="11" t="n">
        <v>0</v>
      </c>
      <c r="BY193" s="11" t="n">
        <v>40</v>
      </c>
      <c r="BZ193" s="11" t="n">
        <v>0</v>
      </c>
      <c r="CA193" s="11" t="n">
        <v>0</v>
      </c>
      <c r="CB193" s="11" t="n">
        <v>20</v>
      </c>
      <c r="CC193" s="11" t="n">
        <v>0</v>
      </c>
      <c r="CD193" s="11" t="n">
        <v>0</v>
      </c>
      <c r="CE193" s="11" t="n">
        <v>0</v>
      </c>
    </row>
    <row r="194">
      <c r="A194" s="14" t="inlineStr">
        <is>
          <t>2026-04-01</t>
        </is>
      </c>
      <c r="B194" s="8" t="n">
        <v>4</v>
      </c>
      <c r="C194" s="8" t="n">
        <v>0</v>
      </c>
      <c r="D194" s="8" t="n">
        <v>0</v>
      </c>
      <c r="E194" s="8" t="n">
        <v>0</v>
      </c>
      <c r="F194" s="8" t="n">
        <v>0</v>
      </c>
      <c r="G194" s="8" t="n">
        <v>0</v>
      </c>
      <c r="H194" s="8" t="n">
        <v>0</v>
      </c>
      <c r="I194" s="8" t="n">
        <v>0</v>
      </c>
      <c r="J194" s="8" t="n">
        <v>0</v>
      </c>
      <c r="K194" s="8" t="n">
        <v>0</v>
      </c>
      <c r="L194" s="8" t="n">
        <v>0</v>
      </c>
      <c r="M194" s="8" t="n">
        <v>0</v>
      </c>
      <c r="N194" s="8" t="n">
        <v>0</v>
      </c>
      <c r="O194" s="8" t="n">
        <v>0</v>
      </c>
      <c r="P194" s="8" t="n">
        <v>0</v>
      </c>
      <c r="Q194" s="8" t="n">
        <v>0</v>
      </c>
      <c r="R194" s="8" t="n">
        <v>0</v>
      </c>
      <c r="S194" s="8" t="n">
        <v>20</v>
      </c>
      <c r="T194" s="8" t="n">
        <v>0</v>
      </c>
      <c r="U194" s="8" t="n">
        <v>0</v>
      </c>
      <c r="V194" s="8" t="n">
        <v>0</v>
      </c>
      <c r="W194" s="8" t="n">
        <v>0</v>
      </c>
      <c r="X194" s="8" t="n">
        <v>0</v>
      </c>
      <c r="Y194" s="8" t="n">
        <v>0</v>
      </c>
      <c r="Z194" s="8" t="n">
        <v>450</v>
      </c>
      <c r="AA194" s="8" t="n">
        <v>100</v>
      </c>
      <c r="AB194" s="8" t="n">
        <v>40</v>
      </c>
      <c r="AC194" s="8" t="n">
        <v>0</v>
      </c>
      <c r="AD194" s="8" t="n">
        <v>20</v>
      </c>
      <c r="AE194" s="8" t="n">
        <v>0</v>
      </c>
      <c r="AF194" s="8" t="n">
        <v>0</v>
      </c>
      <c r="AG194" s="8" t="n">
        <v>0</v>
      </c>
      <c r="AH194" s="8" t="n">
        <v>4</v>
      </c>
      <c r="AI194" s="8" t="n">
        <v>0</v>
      </c>
      <c r="AJ194" s="8" t="n">
        <v>0</v>
      </c>
      <c r="AK194" s="8" t="n">
        <v>0</v>
      </c>
      <c r="AL194" s="8" t="n">
        <v>0</v>
      </c>
      <c r="AM194" s="8" t="n">
        <v>0</v>
      </c>
      <c r="AN194" s="8" t="n">
        <v>0</v>
      </c>
      <c r="AO194" s="8" t="n">
        <v>0</v>
      </c>
      <c r="AP194" s="8" t="n">
        <v>0</v>
      </c>
      <c r="AQ194" s="8" t="n">
        <v>0</v>
      </c>
      <c r="AR194" s="8" t="n">
        <v>0</v>
      </c>
      <c r="AS194" s="8" t="n">
        <v>0</v>
      </c>
      <c r="AT194" s="8" t="n">
        <v>0</v>
      </c>
      <c r="AU194" s="8" t="n">
        <v>0</v>
      </c>
      <c r="AV194" s="8" t="n">
        <v>0</v>
      </c>
      <c r="AW194" s="8" t="n">
        <v>0</v>
      </c>
      <c r="AX194" s="8" t="n">
        <v>0</v>
      </c>
      <c r="AY194" s="8" t="n">
        <v>0</v>
      </c>
      <c r="AZ194" s="8" t="n">
        <v>0</v>
      </c>
      <c r="BA194" s="8" t="n">
        <v>0</v>
      </c>
      <c r="BB194" s="8" t="n">
        <v>0</v>
      </c>
      <c r="BC194" s="8" t="n">
        <v>0</v>
      </c>
      <c r="BD194" s="8" t="n">
        <v>0</v>
      </c>
      <c r="BE194" s="8" t="n">
        <v>0</v>
      </c>
      <c r="BF194" s="8" t="n">
        <v>0</v>
      </c>
      <c r="BG194" s="8" t="n">
        <v>0</v>
      </c>
      <c r="BH194" s="8" t="n">
        <v>200</v>
      </c>
      <c r="BI194" s="8" t="n">
        <v>0</v>
      </c>
      <c r="BJ194" s="8" t="n">
        <v>0</v>
      </c>
      <c r="BK194" s="8" t="n">
        <v>0</v>
      </c>
      <c r="BL194" s="8" t="n">
        <v>0</v>
      </c>
      <c r="BM194" s="8" t="n">
        <v>0</v>
      </c>
      <c r="BN194" s="8" t="n">
        <v>10</v>
      </c>
      <c r="BO194" s="8" t="n">
        <v>0</v>
      </c>
      <c r="BP194" s="8" t="n">
        <v>0</v>
      </c>
      <c r="BQ194" s="8" t="n">
        <v>0</v>
      </c>
      <c r="BR194" s="8" t="n">
        <v>0</v>
      </c>
      <c r="BS194" s="8" t="n">
        <v>0</v>
      </c>
      <c r="BT194" s="8" t="n">
        <v>0</v>
      </c>
      <c r="BU194" s="8" t="n">
        <v>0</v>
      </c>
      <c r="BV194" s="8" t="n">
        <v>0</v>
      </c>
      <c r="BW194" s="8" t="n">
        <v>0</v>
      </c>
      <c r="BX194" s="8" t="n">
        <v>0</v>
      </c>
      <c r="BY194" s="8" t="n">
        <v>40</v>
      </c>
      <c r="BZ194" s="8" t="n">
        <v>0</v>
      </c>
      <c r="CA194" s="8" t="n">
        <v>0</v>
      </c>
      <c r="CB194" s="8" t="n">
        <v>20</v>
      </c>
      <c r="CC194" s="8" t="n">
        <v>0</v>
      </c>
      <c r="CD194" s="8" t="n">
        <v>0</v>
      </c>
      <c r="CE194" s="8" t="n">
        <v>0</v>
      </c>
    </row>
    <row r="195">
      <c r="A195" s="15" t="inlineStr">
        <is>
          <t>2026-04-02</t>
        </is>
      </c>
      <c r="B195" s="11" t="n">
        <v>4</v>
      </c>
      <c r="C195" s="11" t="n">
        <v>0</v>
      </c>
      <c r="D195" s="11" t="n">
        <v>0</v>
      </c>
      <c r="E195" s="11" t="n">
        <v>0</v>
      </c>
      <c r="F195" s="11" t="n">
        <v>0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  <c r="P195" s="11" t="n">
        <v>0</v>
      </c>
      <c r="Q195" s="11" t="n">
        <v>0</v>
      </c>
      <c r="R195" s="11" t="n">
        <v>0</v>
      </c>
      <c r="S195" s="11" t="n">
        <v>20</v>
      </c>
      <c r="T195" s="11" t="n">
        <v>0</v>
      </c>
      <c r="U195" s="11" t="n">
        <v>0</v>
      </c>
      <c r="V195" s="11" t="n">
        <v>0</v>
      </c>
      <c r="W195" s="11" t="n">
        <v>0</v>
      </c>
      <c r="X195" s="11" t="n">
        <v>0</v>
      </c>
      <c r="Y195" s="11" t="n">
        <v>0</v>
      </c>
      <c r="Z195" s="11" t="n">
        <v>450</v>
      </c>
      <c r="AA195" s="11" t="n">
        <v>100</v>
      </c>
      <c r="AB195" s="11" t="n">
        <v>40</v>
      </c>
      <c r="AC195" s="11" t="n">
        <v>0</v>
      </c>
      <c r="AD195" s="11" t="n">
        <v>20</v>
      </c>
      <c r="AE195" s="11" t="n">
        <v>0</v>
      </c>
      <c r="AF195" s="11" t="n">
        <v>0</v>
      </c>
      <c r="AG195" s="11" t="n">
        <v>0</v>
      </c>
      <c r="AH195" s="11" t="n">
        <v>3</v>
      </c>
      <c r="AI195" s="11" t="n">
        <v>0</v>
      </c>
      <c r="AJ195" s="11" t="n">
        <v>0</v>
      </c>
      <c r="AK195" s="11" t="n">
        <v>0</v>
      </c>
      <c r="AL195" s="11" t="n">
        <v>0</v>
      </c>
      <c r="AM195" s="11" t="n">
        <v>0</v>
      </c>
      <c r="AN195" s="11" t="n">
        <v>0</v>
      </c>
      <c r="AO195" s="11" t="n">
        <v>0</v>
      </c>
      <c r="AP195" s="11" t="n">
        <v>0</v>
      </c>
      <c r="AQ195" s="11" t="n">
        <v>0</v>
      </c>
      <c r="AR195" s="11" t="n">
        <v>0</v>
      </c>
      <c r="AS195" s="11" t="n">
        <v>0</v>
      </c>
      <c r="AT195" s="11" t="n">
        <v>0</v>
      </c>
      <c r="AU195" s="11" t="n">
        <v>0</v>
      </c>
      <c r="AV195" s="11" t="n">
        <v>0</v>
      </c>
      <c r="AW195" s="11" t="n">
        <v>0</v>
      </c>
      <c r="AX195" s="11" t="n">
        <v>0</v>
      </c>
      <c r="AY195" s="11" t="n">
        <v>0</v>
      </c>
      <c r="AZ195" s="11" t="n">
        <v>0</v>
      </c>
      <c r="BA195" s="11" t="n">
        <v>0</v>
      </c>
      <c r="BB195" s="11" t="n">
        <v>0</v>
      </c>
      <c r="BC195" s="11" t="n">
        <v>0</v>
      </c>
      <c r="BD195" s="11" t="n">
        <v>0</v>
      </c>
      <c r="BE195" s="11" t="n">
        <v>0</v>
      </c>
      <c r="BF195" s="11" t="n">
        <v>0</v>
      </c>
      <c r="BG195" s="11" t="n">
        <v>0</v>
      </c>
      <c r="BH195" s="11" t="n">
        <v>200</v>
      </c>
      <c r="BI195" s="11" t="n">
        <v>0</v>
      </c>
      <c r="BJ195" s="11" t="n">
        <v>0</v>
      </c>
      <c r="BK195" s="11" t="n">
        <v>0</v>
      </c>
      <c r="BL195" s="11" t="n">
        <v>0</v>
      </c>
      <c r="BM195" s="11" t="n">
        <v>0</v>
      </c>
      <c r="BN195" s="11" t="n">
        <v>10</v>
      </c>
      <c r="BO195" s="11" t="n">
        <v>0</v>
      </c>
      <c r="BP195" s="11" t="n">
        <v>0</v>
      </c>
      <c r="BQ195" s="11" t="n">
        <v>0</v>
      </c>
      <c r="BR195" s="11" t="n">
        <v>0</v>
      </c>
      <c r="BS195" s="11" t="n">
        <v>0</v>
      </c>
      <c r="BT195" s="11" t="n">
        <v>10</v>
      </c>
      <c r="BU195" s="11" t="n">
        <v>0</v>
      </c>
      <c r="BV195" s="11" t="n">
        <v>0</v>
      </c>
      <c r="BW195" s="11" t="n">
        <v>0</v>
      </c>
      <c r="BX195" s="11" t="n">
        <v>0</v>
      </c>
      <c r="BY195" s="11" t="n">
        <v>40</v>
      </c>
      <c r="BZ195" s="11" t="n">
        <v>0</v>
      </c>
      <c r="CA195" s="11" t="n">
        <v>0</v>
      </c>
      <c r="CB195" s="11" t="n">
        <v>20</v>
      </c>
      <c r="CC195" s="11" t="n">
        <v>0</v>
      </c>
      <c r="CD195" s="11" t="n">
        <v>0</v>
      </c>
      <c r="CE195" s="11" t="n">
        <v>0</v>
      </c>
    </row>
    <row r="196">
      <c r="A196" s="14" t="inlineStr">
        <is>
          <t>2026-04-03</t>
        </is>
      </c>
      <c r="B196" s="8" t="n">
        <v>4</v>
      </c>
      <c r="C196" s="8" t="n">
        <v>0</v>
      </c>
      <c r="D196" s="8" t="n">
        <v>0</v>
      </c>
      <c r="E196" s="8" t="n">
        <v>0</v>
      </c>
      <c r="F196" s="8" t="n">
        <v>0</v>
      </c>
      <c r="G196" s="8" t="n">
        <v>0</v>
      </c>
      <c r="H196" s="8" t="n">
        <v>0</v>
      </c>
      <c r="I196" s="8" t="n">
        <v>0</v>
      </c>
      <c r="J196" s="8" t="n">
        <v>0</v>
      </c>
      <c r="K196" s="8" t="n">
        <v>0</v>
      </c>
      <c r="L196" s="8" t="n">
        <v>0</v>
      </c>
      <c r="M196" s="8" t="n">
        <v>0</v>
      </c>
      <c r="N196" s="8" t="n">
        <v>0</v>
      </c>
      <c r="O196" s="8" t="n">
        <v>0</v>
      </c>
      <c r="P196" s="8" t="n">
        <v>0</v>
      </c>
      <c r="Q196" s="8" t="n">
        <v>0</v>
      </c>
      <c r="R196" s="8" t="n">
        <v>0</v>
      </c>
      <c r="S196" s="8" t="n">
        <v>20</v>
      </c>
      <c r="T196" s="8" t="n">
        <v>0</v>
      </c>
      <c r="U196" s="8" t="n">
        <v>0</v>
      </c>
      <c r="V196" s="8" t="n">
        <v>0</v>
      </c>
      <c r="W196" s="8" t="n">
        <v>0</v>
      </c>
      <c r="X196" s="8" t="n">
        <v>0</v>
      </c>
      <c r="Y196" s="8" t="n">
        <v>0</v>
      </c>
      <c r="Z196" s="8" t="n">
        <v>450</v>
      </c>
      <c r="AA196" s="8" t="n">
        <v>100</v>
      </c>
      <c r="AB196" s="8" t="n">
        <v>40</v>
      </c>
      <c r="AC196" s="8" t="n">
        <v>0</v>
      </c>
      <c r="AD196" s="8" t="n">
        <v>20</v>
      </c>
      <c r="AE196" s="8" t="n">
        <v>0</v>
      </c>
      <c r="AF196" s="8" t="n">
        <v>0</v>
      </c>
      <c r="AG196" s="8" t="n">
        <v>0</v>
      </c>
      <c r="AH196" s="8" t="n">
        <v>3</v>
      </c>
      <c r="AI196" s="8" t="n">
        <v>0</v>
      </c>
      <c r="AJ196" s="8" t="n">
        <v>0</v>
      </c>
      <c r="AK196" s="8" t="n">
        <v>0</v>
      </c>
      <c r="AL196" s="8" t="n">
        <v>0</v>
      </c>
      <c r="AM196" s="8" t="n">
        <v>0</v>
      </c>
      <c r="AN196" s="8" t="n">
        <v>0</v>
      </c>
      <c r="AO196" s="8" t="n">
        <v>0</v>
      </c>
      <c r="AP196" s="8" t="n">
        <v>0</v>
      </c>
      <c r="AQ196" s="8" t="n">
        <v>0</v>
      </c>
      <c r="AR196" s="8" t="n">
        <v>0</v>
      </c>
      <c r="AS196" s="8" t="n">
        <v>0</v>
      </c>
      <c r="AT196" s="8" t="n">
        <v>0</v>
      </c>
      <c r="AU196" s="8" t="n">
        <v>0</v>
      </c>
      <c r="AV196" s="8" t="n">
        <v>0</v>
      </c>
      <c r="AW196" s="8" t="n">
        <v>0</v>
      </c>
      <c r="AX196" s="8" t="n">
        <v>0</v>
      </c>
      <c r="AY196" s="8" t="n">
        <v>0</v>
      </c>
      <c r="AZ196" s="8" t="n">
        <v>0</v>
      </c>
      <c r="BA196" s="8" t="n">
        <v>0</v>
      </c>
      <c r="BB196" s="8" t="n">
        <v>0</v>
      </c>
      <c r="BC196" s="8" t="n">
        <v>0</v>
      </c>
      <c r="BD196" s="8" t="n">
        <v>0</v>
      </c>
      <c r="BE196" s="8" t="n">
        <v>0</v>
      </c>
      <c r="BF196" s="8" t="n">
        <v>0</v>
      </c>
      <c r="BG196" s="8" t="n">
        <v>0</v>
      </c>
      <c r="BH196" s="8" t="n">
        <v>200</v>
      </c>
      <c r="BI196" s="8" t="n">
        <v>0</v>
      </c>
      <c r="BJ196" s="8" t="n">
        <v>0</v>
      </c>
      <c r="BK196" s="8" t="n">
        <v>0</v>
      </c>
      <c r="BL196" s="8" t="n">
        <v>0</v>
      </c>
      <c r="BM196" s="8" t="n">
        <v>0</v>
      </c>
      <c r="BN196" s="8" t="n">
        <v>10</v>
      </c>
      <c r="BO196" s="8" t="n">
        <v>0</v>
      </c>
      <c r="BP196" s="8" t="n">
        <v>0</v>
      </c>
      <c r="BQ196" s="8" t="n">
        <v>0</v>
      </c>
      <c r="BR196" s="8" t="n">
        <v>0</v>
      </c>
      <c r="BS196" s="8" t="n">
        <v>0</v>
      </c>
      <c r="BT196" s="8" t="n">
        <v>10</v>
      </c>
      <c r="BU196" s="8" t="n">
        <v>0</v>
      </c>
      <c r="BV196" s="8" t="n">
        <v>0</v>
      </c>
      <c r="BW196" s="8" t="n">
        <v>0</v>
      </c>
      <c r="BX196" s="8" t="n">
        <v>0</v>
      </c>
      <c r="BY196" s="8" t="n">
        <v>40</v>
      </c>
      <c r="BZ196" s="8" t="n">
        <v>0</v>
      </c>
      <c r="CA196" s="8" t="n">
        <v>0</v>
      </c>
      <c r="CB196" s="8" t="n">
        <v>20</v>
      </c>
      <c r="CC196" s="8" t="n">
        <v>0</v>
      </c>
      <c r="CD196" s="8" t="n">
        <v>0</v>
      </c>
      <c r="CE196" s="8" t="n">
        <v>0</v>
      </c>
    </row>
    <row r="197">
      <c r="A197" s="15" t="inlineStr">
        <is>
          <t>2026-04-06</t>
        </is>
      </c>
      <c r="B197" s="11" t="n">
        <v>4</v>
      </c>
      <c r="C197" s="11" t="n">
        <v>0</v>
      </c>
      <c r="D197" s="11" t="n">
        <v>0</v>
      </c>
      <c r="E197" s="11" t="n">
        <v>0</v>
      </c>
      <c r="F197" s="11" t="n">
        <v>0</v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0</v>
      </c>
      <c r="O197" s="11" t="n">
        <v>0</v>
      </c>
      <c r="P197" s="11" t="n">
        <v>0</v>
      </c>
      <c r="Q197" s="11" t="n">
        <v>0</v>
      </c>
      <c r="R197" s="11" t="n">
        <v>0</v>
      </c>
      <c r="S197" s="11" t="n">
        <v>20</v>
      </c>
      <c r="T197" s="11" t="n">
        <v>0</v>
      </c>
      <c r="U197" s="11" t="n">
        <v>0</v>
      </c>
      <c r="V197" s="11" t="n">
        <v>0</v>
      </c>
      <c r="W197" s="11" t="n">
        <v>0</v>
      </c>
      <c r="X197" s="11" t="n">
        <v>0</v>
      </c>
      <c r="Y197" s="11" t="n">
        <v>0</v>
      </c>
      <c r="Z197" s="11" t="n">
        <v>450</v>
      </c>
      <c r="AA197" s="11" t="n">
        <v>100</v>
      </c>
      <c r="AB197" s="11" t="n">
        <v>40</v>
      </c>
      <c r="AC197" s="11" t="n">
        <v>0</v>
      </c>
      <c r="AD197" s="11" t="n">
        <v>20</v>
      </c>
      <c r="AE197" s="11" t="n">
        <v>0</v>
      </c>
      <c r="AF197" s="11" t="n">
        <v>0</v>
      </c>
      <c r="AG197" s="11" t="n">
        <v>0</v>
      </c>
      <c r="AH197" s="11" t="n">
        <v>3</v>
      </c>
      <c r="AI197" s="11" t="n">
        <v>0</v>
      </c>
      <c r="AJ197" s="11" t="n">
        <v>0</v>
      </c>
      <c r="AK197" s="11" t="n">
        <v>0</v>
      </c>
      <c r="AL197" s="11" t="n">
        <v>0</v>
      </c>
      <c r="AM197" s="11" t="n">
        <v>0</v>
      </c>
      <c r="AN197" s="11" t="n">
        <v>0</v>
      </c>
      <c r="AO197" s="11" t="n">
        <v>0</v>
      </c>
      <c r="AP197" s="11" t="n">
        <v>0</v>
      </c>
      <c r="AQ197" s="11" t="n">
        <v>0</v>
      </c>
      <c r="AR197" s="11" t="n">
        <v>0</v>
      </c>
      <c r="AS197" s="11" t="n">
        <v>0</v>
      </c>
      <c r="AT197" s="11" t="n">
        <v>0</v>
      </c>
      <c r="AU197" s="11" t="n">
        <v>0</v>
      </c>
      <c r="AV197" s="11" t="n">
        <v>0</v>
      </c>
      <c r="AW197" s="11" t="n">
        <v>0</v>
      </c>
      <c r="AX197" s="11" t="n">
        <v>0</v>
      </c>
      <c r="AY197" s="11" t="n">
        <v>0</v>
      </c>
      <c r="AZ197" s="11" t="n">
        <v>0</v>
      </c>
      <c r="BA197" s="11" t="n">
        <v>0</v>
      </c>
      <c r="BB197" s="11" t="n">
        <v>0</v>
      </c>
      <c r="BC197" s="11" t="n">
        <v>0</v>
      </c>
      <c r="BD197" s="11" t="n">
        <v>0</v>
      </c>
      <c r="BE197" s="11" t="n">
        <v>0</v>
      </c>
      <c r="BF197" s="11" t="n">
        <v>0</v>
      </c>
      <c r="BG197" s="11" t="n">
        <v>0</v>
      </c>
      <c r="BH197" s="11" t="n">
        <v>200</v>
      </c>
      <c r="BI197" s="11" t="n">
        <v>0</v>
      </c>
      <c r="BJ197" s="11" t="n">
        <v>0</v>
      </c>
      <c r="BK197" s="11" t="n">
        <v>0</v>
      </c>
      <c r="BL197" s="11" t="n">
        <v>0</v>
      </c>
      <c r="BM197" s="11" t="n">
        <v>0</v>
      </c>
      <c r="BN197" s="11" t="n">
        <v>10</v>
      </c>
      <c r="BO197" s="11" t="n">
        <v>0</v>
      </c>
      <c r="BP197" s="11" t="n">
        <v>0</v>
      </c>
      <c r="BQ197" s="11" t="n">
        <v>0</v>
      </c>
      <c r="BR197" s="11" t="n">
        <v>0</v>
      </c>
      <c r="BS197" s="11" t="n">
        <v>0</v>
      </c>
      <c r="BT197" s="11" t="n">
        <v>10</v>
      </c>
      <c r="BU197" s="11" t="n">
        <v>0</v>
      </c>
      <c r="BV197" s="11" t="n">
        <v>0</v>
      </c>
      <c r="BW197" s="11" t="n">
        <v>0</v>
      </c>
      <c r="BX197" s="11" t="n">
        <v>0</v>
      </c>
      <c r="BY197" s="11" t="n">
        <v>40</v>
      </c>
      <c r="BZ197" s="11" t="n">
        <v>0</v>
      </c>
      <c r="CA197" s="11" t="n">
        <v>0</v>
      </c>
      <c r="CB197" s="11" t="n">
        <v>20</v>
      </c>
      <c r="CC197" s="11" t="n">
        <v>0</v>
      </c>
      <c r="CD197" s="11" t="n">
        <v>0</v>
      </c>
      <c r="CE197" s="11" t="n">
        <v>0</v>
      </c>
    </row>
    <row r="198">
      <c r="A198" s="14" t="inlineStr">
        <is>
          <t>2026-04-07</t>
        </is>
      </c>
      <c r="B198" s="8" t="n">
        <v>4</v>
      </c>
      <c r="C198" s="8" t="n">
        <v>0</v>
      </c>
      <c r="D198" s="8" t="n">
        <v>0</v>
      </c>
      <c r="E198" s="8" t="n">
        <v>0</v>
      </c>
      <c r="F198" s="8" t="n">
        <v>0</v>
      </c>
      <c r="G198" s="8" t="n">
        <v>0</v>
      </c>
      <c r="H198" s="8" t="n">
        <v>0</v>
      </c>
      <c r="I198" s="8" t="n">
        <v>0</v>
      </c>
      <c r="J198" s="8" t="n">
        <v>0</v>
      </c>
      <c r="K198" s="8" t="n">
        <v>0</v>
      </c>
      <c r="L198" s="8" t="n">
        <v>0</v>
      </c>
      <c r="M198" s="8" t="n">
        <v>0</v>
      </c>
      <c r="N198" s="8" t="n">
        <v>0</v>
      </c>
      <c r="O198" s="8" t="n">
        <v>0</v>
      </c>
      <c r="P198" s="8" t="n">
        <v>0</v>
      </c>
      <c r="Q198" s="8" t="n">
        <v>0</v>
      </c>
      <c r="R198" s="8" t="n">
        <v>0</v>
      </c>
      <c r="S198" s="8" t="n">
        <v>20</v>
      </c>
      <c r="T198" s="8" t="n">
        <v>0</v>
      </c>
      <c r="U198" s="8" t="n">
        <v>0</v>
      </c>
      <c r="V198" s="8" t="n">
        <v>0</v>
      </c>
      <c r="W198" s="8" t="n">
        <v>0</v>
      </c>
      <c r="X198" s="8" t="n">
        <v>0</v>
      </c>
      <c r="Y198" s="8" t="n">
        <v>0</v>
      </c>
      <c r="Z198" s="8" t="n">
        <v>450</v>
      </c>
      <c r="AA198" s="8" t="n">
        <v>100</v>
      </c>
      <c r="AB198" s="8" t="n">
        <v>40</v>
      </c>
      <c r="AC198" s="8" t="n">
        <v>0</v>
      </c>
      <c r="AD198" s="8" t="n">
        <v>20</v>
      </c>
      <c r="AE198" s="8" t="n">
        <v>0</v>
      </c>
      <c r="AF198" s="8" t="n">
        <v>0</v>
      </c>
      <c r="AG198" s="8" t="n">
        <v>0</v>
      </c>
      <c r="AH198" s="8" t="n">
        <v>3</v>
      </c>
      <c r="AI198" s="8" t="n">
        <v>0</v>
      </c>
      <c r="AJ198" s="8" t="n">
        <v>0</v>
      </c>
      <c r="AK198" s="8" t="n">
        <v>0</v>
      </c>
      <c r="AL198" s="8" t="n">
        <v>0</v>
      </c>
      <c r="AM198" s="8" t="n">
        <v>0</v>
      </c>
      <c r="AN198" s="8" t="n">
        <v>0</v>
      </c>
      <c r="AO198" s="8" t="n">
        <v>0</v>
      </c>
      <c r="AP198" s="8" t="n">
        <v>0</v>
      </c>
      <c r="AQ198" s="8" t="n">
        <v>0</v>
      </c>
      <c r="AR198" s="8" t="n">
        <v>0</v>
      </c>
      <c r="AS198" s="8" t="n">
        <v>0</v>
      </c>
      <c r="AT198" s="8" t="n">
        <v>0</v>
      </c>
      <c r="AU198" s="8" t="n">
        <v>0</v>
      </c>
      <c r="AV198" s="8" t="n">
        <v>0</v>
      </c>
      <c r="AW198" s="8" t="n">
        <v>0</v>
      </c>
      <c r="AX198" s="8" t="n">
        <v>0</v>
      </c>
      <c r="AY198" s="8" t="n">
        <v>0</v>
      </c>
      <c r="AZ198" s="8" t="n">
        <v>0</v>
      </c>
      <c r="BA198" s="8" t="n">
        <v>0</v>
      </c>
      <c r="BB198" s="8" t="n">
        <v>0</v>
      </c>
      <c r="BC198" s="8" t="n">
        <v>0</v>
      </c>
      <c r="BD198" s="8" t="n">
        <v>0</v>
      </c>
      <c r="BE198" s="8" t="n">
        <v>0</v>
      </c>
      <c r="BF198" s="8" t="n">
        <v>0</v>
      </c>
      <c r="BG198" s="8" t="n">
        <v>0</v>
      </c>
      <c r="BH198" s="8" t="n">
        <v>200</v>
      </c>
      <c r="BI198" s="8" t="n">
        <v>0</v>
      </c>
      <c r="BJ198" s="8" t="n">
        <v>0</v>
      </c>
      <c r="BK198" s="8" t="n">
        <v>0</v>
      </c>
      <c r="BL198" s="8" t="n">
        <v>0</v>
      </c>
      <c r="BM198" s="8" t="n">
        <v>0</v>
      </c>
      <c r="BN198" s="8" t="n">
        <v>10</v>
      </c>
      <c r="BO198" s="8" t="n">
        <v>0</v>
      </c>
      <c r="BP198" s="8" t="n">
        <v>0</v>
      </c>
      <c r="BQ198" s="8" t="n">
        <v>0</v>
      </c>
      <c r="BR198" s="8" t="n">
        <v>0</v>
      </c>
      <c r="BS198" s="8" t="n">
        <v>0</v>
      </c>
      <c r="BT198" s="8" t="n">
        <v>10</v>
      </c>
      <c r="BU198" s="8" t="n">
        <v>0</v>
      </c>
      <c r="BV198" s="8" t="n">
        <v>0</v>
      </c>
      <c r="BW198" s="8" t="n">
        <v>0</v>
      </c>
      <c r="BX198" s="8" t="n">
        <v>0</v>
      </c>
      <c r="BY198" s="8" t="n">
        <v>40</v>
      </c>
      <c r="BZ198" s="8" t="n">
        <v>0</v>
      </c>
      <c r="CA198" s="8" t="n">
        <v>0</v>
      </c>
      <c r="CB198" s="8" t="n">
        <v>20</v>
      </c>
      <c r="CC198" s="8" t="n">
        <v>0</v>
      </c>
      <c r="CD198" s="8" t="n">
        <v>0</v>
      </c>
      <c r="CE198" s="8" t="n">
        <v>0</v>
      </c>
    </row>
    <row r="199">
      <c r="A199" s="15" t="inlineStr">
        <is>
          <t>2026-04-08</t>
        </is>
      </c>
      <c r="B199" s="11" t="n">
        <v>4</v>
      </c>
      <c r="C199" s="11" t="n">
        <v>0</v>
      </c>
      <c r="D199" s="11" t="n">
        <v>0</v>
      </c>
      <c r="E199" s="11" t="n">
        <v>0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  <c r="P199" s="11" t="n">
        <v>0</v>
      </c>
      <c r="Q199" s="11" t="n">
        <v>0</v>
      </c>
      <c r="R199" s="11" t="n">
        <v>0</v>
      </c>
      <c r="S199" s="11" t="n">
        <v>20</v>
      </c>
      <c r="T199" s="11" t="n">
        <v>0</v>
      </c>
      <c r="U199" s="11" t="n">
        <v>0</v>
      </c>
      <c r="V199" s="11" t="n">
        <v>0</v>
      </c>
      <c r="W199" s="11" t="n">
        <v>0</v>
      </c>
      <c r="X199" s="11" t="n">
        <v>0</v>
      </c>
      <c r="Y199" s="11" t="n">
        <v>0</v>
      </c>
      <c r="Z199" s="11" t="n">
        <v>450</v>
      </c>
      <c r="AA199" s="11" t="n">
        <v>100</v>
      </c>
      <c r="AB199" s="11" t="n">
        <v>40</v>
      </c>
      <c r="AC199" s="11" t="n">
        <v>0</v>
      </c>
      <c r="AD199" s="11" t="n">
        <v>20</v>
      </c>
      <c r="AE199" s="11" t="n">
        <v>0</v>
      </c>
      <c r="AF199" s="11" t="n">
        <v>0</v>
      </c>
      <c r="AG199" s="11" t="n">
        <v>0</v>
      </c>
      <c r="AH199" s="11" t="n">
        <v>3</v>
      </c>
      <c r="AI199" s="11" t="n">
        <v>0</v>
      </c>
      <c r="AJ199" s="11" t="n">
        <v>0</v>
      </c>
      <c r="AK199" s="11" t="n">
        <v>0</v>
      </c>
      <c r="AL199" s="11" t="n">
        <v>0</v>
      </c>
      <c r="AM199" s="11" t="n">
        <v>0</v>
      </c>
      <c r="AN199" s="11" t="n">
        <v>0</v>
      </c>
      <c r="AO199" s="11" t="n">
        <v>0</v>
      </c>
      <c r="AP199" s="11" t="n">
        <v>0</v>
      </c>
      <c r="AQ199" s="11" t="n">
        <v>0</v>
      </c>
      <c r="AR199" s="11" t="n">
        <v>0</v>
      </c>
      <c r="AS199" s="11" t="n">
        <v>0</v>
      </c>
      <c r="AT199" s="11" t="n">
        <v>0</v>
      </c>
      <c r="AU199" s="11" t="n">
        <v>0</v>
      </c>
      <c r="AV199" s="11" t="n">
        <v>0</v>
      </c>
      <c r="AW199" s="11" t="n">
        <v>0</v>
      </c>
      <c r="AX199" s="11" t="n">
        <v>0</v>
      </c>
      <c r="AY199" s="11" t="n">
        <v>0</v>
      </c>
      <c r="AZ199" s="11" t="n">
        <v>0</v>
      </c>
      <c r="BA199" s="11" t="n">
        <v>0</v>
      </c>
      <c r="BB199" s="11" t="n">
        <v>0</v>
      </c>
      <c r="BC199" s="11" t="n">
        <v>0</v>
      </c>
      <c r="BD199" s="11" t="n">
        <v>0</v>
      </c>
      <c r="BE199" s="11" t="n">
        <v>0</v>
      </c>
      <c r="BF199" s="11" t="n">
        <v>0</v>
      </c>
      <c r="BG199" s="11" t="n">
        <v>0</v>
      </c>
      <c r="BH199" s="11" t="n">
        <v>200</v>
      </c>
      <c r="BI199" s="11" t="n">
        <v>0</v>
      </c>
      <c r="BJ199" s="11" t="n">
        <v>0</v>
      </c>
      <c r="BK199" s="11" t="n">
        <v>0</v>
      </c>
      <c r="BL199" s="11" t="n">
        <v>0</v>
      </c>
      <c r="BM199" s="11" t="n">
        <v>0</v>
      </c>
      <c r="BN199" s="11" t="n">
        <v>10</v>
      </c>
      <c r="BO199" s="11" t="n">
        <v>0</v>
      </c>
      <c r="BP199" s="11" t="n">
        <v>0</v>
      </c>
      <c r="BQ199" s="11" t="n">
        <v>0</v>
      </c>
      <c r="BR199" s="11" t="n">
        <v>0</v>
      </c>
      <c r="BS199" s="11" t="n">
        <v>0</v>
      </c>
      <c r="BT199" s="11" t="n">
        <v>10</v>
      </c>
      <c r="BU199" s="11" t="n">
        <v>0</v>
      </c>
      <c r="BV199" s="11" t="n">
        <v>0</v>
      </c>
      <c r="BW199" s="11" t="n">
        <v>0</v>
      </c>
      <c r="BX199" s="11" t="n">
        <v>0</v>
      </c>
      <c r="BY199" s="11" t="n">
        <v>40</v>
      </c>
      <c r="BZ199" s="11" t="n">
        <v>0</v>
      </c>
      <c r="CA199" s="11" t="n">
        <v>0</v>
      </c>
      <c r="CB199" s="11" t="n">
        <v>20</v>
      </c>
      <c r="CC199" s="11" t="n">
        <v>0</v>
      </c>
      <c r="CD199" s="11" t="n">
        <v>0</v>
      </c>
      <c r="CE199" s="11" t="n">
        <v>0</v>
      </c>
    </row>
    <row r="200">
      <c r="A200" s="14" t="inlineStr">
        <is>
          <t>2026-04-09</t>
        </is>
      </c>
      <c r="B200" s="8" t="n">
        <v>4</v>
      </c>
      <c r="C200" s="8" t="n">
        <v>0</v>
      </c>
      <c r="D200" s="8" t="n">
        <v>0</v>
      </c>
      <c r="E200" s="8" t="n">
        <v>0</v>
      </c>
      <c r="F200" s="8" t="n">
        <v>0</v>
      </c>
      <c r="G200" s="8" t="n">
        <v>0</v>
      </c>
      <c r="H200" s="8" t="n">
        <v>0</v>
      </c>
      <c r="I200" s="8" t="n">
        <v>0</v>
      </c>
      <c r="J200" s="8" t="n">
        <v>0</v>
      </c>
      <c r="K200" s="8" t="n">
        <v>0</v>
      </c>
      <c r="L200" s="8" t="n">
        <v>0</v>
      </c>
      <c r="M200" s="8" t="n">
        <v>0</v>
      </c>
      <c r="N200" s="8" t="n">
        <v>0</v>
      </c>
      <c r="O200" s="8" t="n">
        <v>0</v>
      </c>
      <c r="P200" s="8" t="n">
        <v>0</v>
      </c>
      <c r="Q200" s="8" t="n">
        <v>0</v>
      </c>
      <c r="R200" s="8" t="n">
        <v>0</v>
      </c>
      <c r="S200" s="8" t="n">
        <v>20</v>
      </c>
      <c r="T200" s="8" t="n">
        <v>0</v>
      </c>
      <c r="U200" s="8" t="n">
        <v>0</v>
      </c>
      <c r="V200" s="8" t="n">
        <v>0</v>
      </c>
      <c r="W200" s="8" t="n">
        <v>0</v>
      </c>
      <c r="X200" s="8" t="n">
        <v>0</v>
      </c>
      <c r="Y200" s="8" t="n">
        <v>0</v>
      </c>
      <c r="Z200" s="8" t="n">
        <v>450</v>
      </c>
      <c r="AA200" s="8" t="n">
        <v>100</v>
      </c>
      <c r="AB200" s="8" t="n">
        <v>40</v>
      </c>
      <c r="AC200" s="8" t="n">
        <v>0</v>
      </c>
      <c r="AD200" s="8" t="n">
        <v>20</v>
      </c>
      <c r="AE200" s="8" t="n">
        <v>0</v>
      </c>
      <c r="AF200" s="8" t="n">
        <v>0</v>
      </c>
      <c r="AG200" s="8" t="n">
        <v>0</v>
      </c>
      <c r="AH200" s="8" t="n">
        <v>3</v>
      </c>
      <c r="AI200" s="8" t="n">
        <v>0</v>
      </c>
      <c r="AJ200" s="8" t="n">
        <v>0</v>
      </c>
      <c r="AK200" s="8" t="n">
        <v>0</v>
      </c>
      <c r="AL200" s="8" t="n">
        <v>0</v>
      </c>
      <c r="AM200" s="8" t="n">
        <v>0</v>
      </c>
      <c r="AN200" s="8" t="n">
        <v>0</v>
      </c>
      <c r="AO200" s="8" t="n">
        <v>0</v>
      </c>
      <c r="AP200" s="8" t="n">
        <v>0</v>
      </c>
      <c r="AQ200" s="8" t="n">
        <v>0</v>
      </c>
      <c r="AR200" s="8" t="n">
        <v>0</v>
      </c>
      <c r="AS200" s="8" t="n">
        <v>0</v>
      </c>
      <c r="AT200" s="8" t="n">
        <v>0</v>
      </c>
      <c r="AU200" s="8" t="n">
        <v>0</v>
      </c>
      <c r="AV200" s="8" t="n">
        <v>0</v>
      </c>
      <c r="AW200" s="8" t="n">
        <v>0</v>
      </c>
      <c r="AX200" s="8" t="n">
        <v>0</v>
      </c>
      <c r="AY200" s="8" t="n">
        <v>0</v>
      </c>
      <c r="AZ200" s="8" t="n">
        <v>0</v>
      </c>
      <c r="BA200" s="8" t="n">
        <v>0</v>
      </c>
      <c r="BB200" s="8" t="n">
        <v>0</v>
      </c>
      <c r="BC200" s="8" t="n">
        <v>0</v>
      </c>
      <c r="BD200" s="8" t="n">
        <v>0</v>
      </c>
      <c r="BE200" s="8" t="n">
        <v>0</v>
      </c>
      <c r="BF200" s="8" t="n">
        <v>0</v>
      </c>
      <c r="BG200" s="8" t="n">
        <v>0</v>
      </c>
      <c r="BH200" s="8" t="n">
        <v>200</v>
      </c>
      <c r="BI200" s="8" t="n">
        <v>0</v>
      </c>
      <c r="BJ200" s="8" t="n">
        <v>0</v>
      </c>
      <c r="BK200" s="8" t="n">
        <v>0</v>
      </c>
      <c r="BL200" s="8" t="n">
        <v>0</v>
      </c>
      <c r="BM200" s="8" t="n">
        <v>0</v>
      </c>
      <c r="BN200" s="8" t="n">
        <v>10</v>
      </c>
      <c r="BO200" s="8" t="n">
        <v>0</v>
      </c>
      <c r="BP200" s="8" t="n">
        <v>0</v>
      </c>
      <c r="BQ200" s="8" t="n">
        <v>0</v>
      </c>
      <c r="BR200" s="8" t="n">
        <v>0</v>
      </c>
      <c r="BS200" s="8" t="n">
        <v>0</v>
      </c>
      <c r="BT200" s="8" t="n">
        <v>10</v>
      </c>
      <c r="BU200" s="8" t="n">
        <v>0</v>
      </c>
      <c r="BV200" s="8" t="n">
        <v>0</v>
      </c>
      <c r="BW200" s="8" t="n">
        <v>0</v>
      </c>
      <c r="BX200" s="8" t="n">
        <v>0</v>
      </c>
      <c r="BY200" s="8" t="n">
        <v>80</v>
      </c>
      <c r="BZ200" s="8" t="n">
        <v>0</v>
      </c>
      <c r="CA200" s="8" t="n">
        <v>0</v>
      </c>
      <c r="CB200" s="8" t="n">
        <v>20</v>
      </c>
      <c r="CC200" s="8" t="n">
        <v>0</v>
      </c>
      <c r="CD200" s="8" t="n">
        <v>0</v>
      </c>
      <c r="CE200" s="8" t="n">
        <v>0</v>
      </c>
    </row>
    <row r="201">
      <c r="A201" s="15" t="inlineStr">
        <is>
          <t>2026-04-10</t>
        </is>
      </c>
      <c r="B201" s="11" t="n">
        <v>4</v>
      </c>
      <c r="C201" s="11" t="n">
        <v>0</v>
      </c>
      <c r="D201" s="11" t="n">
        <v>0</v>
      </c>
      <c r="E201" s="11" t="n">
        <v>0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  <c r="P201" s="11" t="n">
        <v>0</v>
      </c>
      <c r="Q201" s="11" t="n">
        <v>0</v>
      </c>
      <c r="R201" s="11" t="n">
        <v>0</v>
      </c>
      <c r="S201" s="11" t="n">
        <v>20</v>
      </c>
      <c r="T201" s="11" t="n">
        <v>0</v>
      </c>
      <c r="U201" s="11" t="n">
        <v>0</v>
      </c>
      <c r="V201" s="11" t="n">
        <v>0</v>
      </c>
      <c r="W201" s="11" t="n">
        <v>0</v>
      </c>
      <c r="X201" s="11" t="n">
        <v>0</v>
      </c>
      <c r="Y201" s="11" t="n">
        <v>0</v>
      </c>
      <c r="Z201" s="11" t="n">
        <v>450</v>
      </c>
      <c r="AA201" s="11" t="n">
        <v>100</v>
      </c>
      <c r="AB201" s="11" t="n">
        <v>40</v>
      </c>
      <c r="AC201" s="11" t="n">
        <v>0</v>
      </c>
      <c r="AD201" s="11" t="n">
        <v>20</v>
      </c>
      <c r="AE201" s="11" t="n">
        <v>0</v>
      </c>
      <c r="AF201" s="11" t="n">
        <v>0</v>
      </c>
      <c r="AG201" s="11" t="n">
        <v>0</v>
      </c>
      <c r="AH201" s="11" t="n">
        <v>3</v>
      </c>
      <c r="AI201" s="11" t="n">
        <v>0</v>
      </c>
      <c r="AJ201" s="11" t="n">
        <v>0</v>
      </c>
      <c r="AK201" s="11" t="n">
        <v>0</v>
      </c>
      <c r="AL201" s="11" t="n">
        <v>0</v>
      </c>
      <c r="AM201" s="11" t="n">
        <v>0</v>
      </c>
      <c r="AN201" s="11" t="n">
        <v>0</v>
      </c>
      <c r="AO201" s="11" t="n">
        <v>0</v>
      </c>
      <c r="AP201" s="11" t="n">
        <v>0</v>
      </c>
      <c r="AQ201" s="11" t="n">
        <v>0</v>
      </c>
      <c r="AR201" s="11" t="n">
        <v>0</v>
      </c>
      <c r="AS201" s="11" t="n">
        <v>0</v>
      </c>
      <c r="AT201" s="11" t="n">
        <v>0</v>
      </c>
      <c r="AU201" s="11" t="n">
        <v>0</v>
      </c>
      <c r="AV201" s="11" t="n">
        <v>0</v>
      </c>
      <c r="AW201" s="11" t="n">
        <v>0</v>
      </c>
      <c r="AX201" s="11" t="n">
        <v>0</v>
      </c>
      <c r="AY201" s="11" t="n">
        <v>0</v>
      </c>
      <c r="AZ201" s="11" t="n">
        <v>0</v>
      </c>
      <c r="BA201" s="11" t="n">
        <v>0</v>
      </c>
      <c r="BB201" s="11" t="n">
        <v>0</v>
      </c>
      <c r="BC201" s="11" t="n">
        <v>0</v>
      </c>
      <c r="BD201" s="11" t="n">
        <v>0</v>
      </c>
      <c r="BE201" s="11" t="n">
        <v>0</v>
      </c>
      <c r="BF201" s="11" t="n">
        <v>0</v>
      </c>
      <c r="BG201" s="11" t="n">
        <v>0</v>
      </c>
      <c r="BH201" s="11" t="n">
        <v>200</v>
      </c>
      <c r="BI201" s="11" t="n">
        <v>0</v>
      </c>
      <c r="BJ201" s="11" t="n">
        <v>0</v>
      </c>
      <c r="BK201" s="11" t="n">
        <v>0</v>
      </c>
      <c r="BL201" s="11" t="n">
        <v>0</v>
      </c>
      <c r="BM201" s="11" t="n">
        <v>0</v>
      </c>
      <c r="BN201" s="11" t="n">
        <v>10</v>
      </c>
      <c r="BO201" s="11" t="n">
        <v>0</v>
      </c>
      <c r="BP201" s="11" t="n">
        <v>0</v>
      </c>
      <c r="BQ201" s="11" t="n">
        <v>0</v>
      </c>
      <c r="BR201" s="11" t="n">
        <v>0</v>
      </c>
      <c r="BS201" s="11" t="n">
        <v>0</v>
      </c>
      <c r="BT201" s="11" t="n">
        <v>10</v>
      </c>
      <c r="BU201" s="11" t="n">
        <v>0</v>
      </c>
      <c r="BV201" s="11" t="n">
        <v>0</v>
      </c>
      <c r="BW201" s="11" t="n">
        <v>0</v>
      </c>
      <c r="BX201" s="11" t="n">
        <v>0</v>
      </c>
      <c r="BY201" s="11" t="n">
        <v>80</v>
      </c>
      <c r="BZ201" s="11" t="n">
        <v>0</v>
      </c>
      <c r="CA201" s="11" t="n">
        <v>0</v>
      </c>
      <c r="CB201" s="11" t="n">
        <v>20</v>
      </c>
      <c r="CC201" s="11" t="n">
        <v>0</v>
      </c>
      <c r="CD201" s="11" t="n">
        <v>0</v>
      </c>
      <c r="CE201" s="11" t="n">
        <v>0</v>
      </c>
    </row>
    <row r="202">
      <c r="A202" s="14" t="inlineStr">
        <is>
          <t>2026-04-13</t>
        </is>
      </c>
      <c r="B202" s="8" t="n">
        <v>4</v>
      </c>
      <c r="C202" s="8" t="n">
        <v>0</v>
      </c>
      <c r="D202" s="8" t="n">
        <v>0</v>
      </c>
      <c r="E202" s="8" t="n">
        <v>0</v>
      </c>
      <c r="F202" s="8" t="n">
        <v>0</v>
      </c>
      <c r="G202" s="8" t="n">
        <v>0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0</v>
      </c>
      <c r="M202" s="8" t="n">
        <v>0</v>
      </c>
      <c r="N202" s="8" t="n">
        <v>0</v>
      </c>
      <c r="O202" s="8" t="n">
        <v>0</v>
      </c>
      <c r="P202" s="8" t="n">
        <v>0</v>
      </c>
      <c r="Q202" s="8" t="n">
        <v>0</v>
      </c>
      <c r="R202" s="8" t="n">
        <v>0</v>
      </c>
      <c r="S202" s="8" t="n">
        <v>20</v>
      </c>
      <c r="T202" s="8" t="n">
        <v>0</v>
      </c>
      <c r="U202" s="8" t="n">
        <v>0</v>
      </c>
      <c r="V202" s="8" t="n">
        <v>0</v>
      </c>
      <c r="W202" s="8" t="n">
        <v>0</v>
      </c>
      <c r="X202" s="8" t="n">
        <v>0</v>
      </c>
      <c r="Y202" s="8" t="n">
        <v>0</v>
      </c>
      <c r="Z202" s="8" t="n">
        <v>450</v>
      </c>
      <c r="AA202" s="8" t="n">
        <v>100</v>
      </c>
      <c r="AB202" s="8" t="n">
        <v>40</v>
      </c>
      <c r="AC202" s="8" t="n">
        <v>0</v>
      </c>
      <c r="AD202" s="8" t="n">
        <v>20</v>
      </c>
      <c r="AE202" s="8" t="n">
        <v>0</v>
      </c>
      <c r="AF202" s="8" t="n">
        <v>0</v>
      </c>
      <c r="AG202" s="8" t="n">
        <v>0</v>
      </c>
      <c r="AH202" s="8" t="n">
        <v>3</v>
      </c>
      <c r="AI202" s="8" t="n">
        <v>0</v>
      </c>
      <c r="AJ202" s="8" t="n">
        <v>0</v>
      </c>
      <c r="AK202" s="8" t="n">
        <v>0</v>
      </c>
      <c r="AL202" s="8" t="n">
        <v>0</v>
      </c>
      <c r="AM202" s="8" t="n">
        <v>0</v>
      </c>
      <c r="AN202" s="8" t="n">
        <v>0</v>
      </c>
      <c r="AO202" s="8" t="n">
        <v>0</v>
      </c>
      <c r="AP202" s="8" t="n">
        <v>0</v>
      </c>
      <c r="AQ202" s="8" t="n">
        <v>0</v>
      </c>
      <c r="AR202" s="8" t="n">
        <v>0</v>
      </c>
      <c r="AS202" s="8" t="n">
        <v>0</v>
      </c>
      <c r="AT202" s="8" t="n">
        <v>0</v>
      </c>
      <c r="AU202" s="8" t="n">
        <v>0</v>
      </c>
      <c r="AV202" s="8" t="n">
        <v>0</v>
      </c>
      <c r="AW202" s="8" t="n">
        <v>0</v>
      </c>
      <c r="AX202" s="8" t="n">
        <v>0</v>
      </c>
      <c r="AY202" s="8" t="n">
        <v>0</v>
      </c>
      <c r="AZ202" s="8" t="n">
        <v>0</v>
      </c>
      <c r="BA202" s="8" t="n">
        <v>0</v>
      </c>
      <c r="BB202" s="8" t="n">
        <v>0</v>
      </c>
      <c r="BC202" s="8" t="n">
        <v>0</v>
      </c>
      <c r="BD202" s="8" t="n">
        <v>0</v>
      </c>
      <c r="BE202" s="8" t="n">
        <v>0</v>
      </c>
      <c r="BF202" s="8" t="n">
        <v>0</v>
      </c>
      <c r="BG202" s="8" t="n">
        <v>0</v>
      </c>
      <c r="BH202" s="8" t="n">
        <v>200</v>
      </c>
      <c r="BI202" s="8" t="n">
        <v>0</v>
      </c>
      <c r="BJ202" s="8" t="n">
        <v>3</v>
      </c>
      <c r="BK202" s="8" t="n">
        <v>0</v>
      </c>
      <c r="BL202" s="8" t="n">
        <v>0</v>
      </c>
      <c r="BM202" s="8" t="n">
        <v>0</v>
      </c>
      <c r="BN202" s="8" t="n">
        <v>10</v>
      </c>
      <c r="BO202" s="8" t="n">
        <v>0</v>
      </c>
      <c r="BP202" s="8" t="n">
        <v>0</v>
      </c>
      <c r="BQ202" s="8" t="n">
        <v>0</v>
      </c>
      <c r="BR202" s="8" t="n">
        <v>0</v>
      </c>
      <c r="BS202" s="8" t="n">
        <v>0</v>
      </c>
      <c r="BT202" s="8" t="n">
        <v>10</v>
      </c>
      <c r="BU202" s="8" t="n">
        <v>0</v>
      </c>
      <c r="BV202" s="8" t="n">
        <v>0</v>
      </c>
      <c r="BW202" s="8" t="n">
        <v>0</v>
      </c>
      <c r="BX202" s="8" t="n">
        <v>0</v>
      </c>
      <c r="BY202" s="8" t="n">
        <v>80</v>
      </c>
      <c r="BZ202" s="8" t="n">
        <v>0</v>
      </c>
      <c r="CA202" s="8" t="n">
        <v>0</v>
      </c>
      <c r="CB202" s="8" t="n">
        <v>20</v>
      </c>
      <c r="CC202" s="8" t="n">
        <v>0</v>
      </c>
      <c r="CD202" s="8" t="n">
        <v>0</v>
      </c>
      <c r="CE202" s="8" t="n">
        <v>0</v>
      </c>
    </row>
    <row r="203">
      <c r="A203" s="15" t="inlineStr">
        <is>
          <t>2026-04-14</t>
        </is>
      </c>
      <c r="B203" s="11" t="n">
        <v>4</v>
      </c>
      <c r="C203" s="11" t="n">
        <v>0</v>
      </c>
      <c r="D203" s="11" t="n">
        <v>0</v>
      </c>
      <c r="E203" s="11" t="n">
        <v>0</v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20</v>
      </c>
      <c r="T203" s="11" t="n">
        <v>0</v>
      </c>
      <c r="U203" s="11" t="n">
        <v>0</v>
      </c>
      <c r="V203" s="11" t="n">
        <v>0</v>
      </c>
      <c r="W203" s="11" t="n">
        <v>0</v>
      </c>
      <c r="X203" s="11" t="n">
        <v>0</v>
      </c>
      <c r="Y203" s="11" t="n">
        <v>0</v>
      </c>
      <c r="Z203" s="11" t="n">
        <v>450</v>
      </c>
      <c r="AA203" s="11" t="n">
        <v>100</v>
      </c>
      <c r="AB203" s="11" t="n">
        <v>40</v>
      </c>
      <c r="AC203" s="11" t="n">
        <v>0</v>
      </c>
      <c r="AD203" s="11" t="n">
        <v>20</v>
      </c>
      <c r="AE203" s="11" t="n">
        <v>0</v>
      </c>
      <c r="AF203" s="11" t="n">
        <v>0</v>
      </c>
      <c r="AG203" s="11" t="n">
        <v>0</v>
      </c>
      <c r="AH203" s="11" t="n">
        <v>3</v>
      </c>
      <c r="AI203" s="11" t="n">
        <v>0</v>
      </c>
      <c r="AJ203" s="11" t="n">
        <v>0</v>
      </c>
      <c r="AK203" s="11" t="n">
        <v>0</v>
      </c>
      <c r="AL203" s="11" t="n">
        <v>0</v>
      </c>
      <c r="AM203" s="11" t="n">
        <v>0</v>
      </c>
      <c r="AN203" s="11" t="n">
        <v>0</v>
      </c>
      <c r="AO203" s="11" t="n">
        <v>0</v>
      </c>
      <c r="AP203" s="11" t="n">
        <v>0</v>
      </c>
      <c r="AQ203" s="11" t="n">
        <v>0</v>
      </c>
      <c r="AR203" s="11" t="n">
        <v>0</v>
      </c>
      <c r="AS203" s="11" t="n">
        <v>0</v>
      </c>
      <c r="AT203" s="11" t="n">
        <v>0</v>
      </c>
      <c r="AU203" s="11" t="n">
        <v>0</v>
      </c>
      <c r="AV203" s="11" t="n">
        <v>0</v>
      </c>
      <c r="AW203" s="11" t="n">
        <v>0</v>
      </c>
      <c r="AX203" s="11" t="n">
        <v>0</v>
      </c>
      <c r="AY203" s="11" t="n">
        <v>0</v>
      </c>
      <c r="AZ203" s="11" t="n">
        <v>0</v>
      </c>
      <c r="BA203" s="11" t="n">
        <v>0</v>
      </c>
      <c r="BB203" s="11" t="n">
        <v>0</v>
      </c>
      <c r="BC203" s="11" t="n">
        <v>0</v>
      </c>
      <c r="BD203" s="11" t="n">
        <v>0</v>
      </c>
      <c r="BE203" s="11" t="n">
        <v>0</v>
      </c>
      <c r="BF203" s="11" t="n">
        <v>0</v>
      </c>
      <c r="BG203" s="11" t="n">
        <v>0</v>
      </c>
      <c r="BH203" s="11" t="n">
        <v>200</v>
      </c>
      <c r="BI203" s="11" t="n">
        <v>0</v>
      </c>
      <c r="BJ203" s="11" t="n">
        <v>3</v>
      </c>
      <c r="BK203" s="11" t="n">
        <v>0</v>
      </c>
      <c r="BL203" s="11" t="n">
        <v>0</v>
      </c>
      <c r="BM203" s="11" t="n">
        <v>0</v>
      </c>
      <c r="BN203" s="11" t="n">
        <v>10</v>
      </c>
      <c r="BO203" s="11" t="n">
        <v>0</v>
      </c>
      <c r="BP203" s="11" t="n">
        <v>0</v>
      </c>
      <c r="BQ203" s="11" t="n">
        <v>0</v>
      </c>
      <c r="BR203" s="11" t="n">
        <v>0</v>
      </c>
      <c r="BS203" s="11" t="n">
        <v>0</v>
      </c>
      <c r="BT203" s="11" t="n">
        <v>10</v>
      </c>
      <c r="BU203" s="11" t="n">
        <v>0</v>
      </c>
      <c r="BV203" s="11" t="n">
        <v>0</v>
      </c>
      <c r="BW203" s="11" t="n">
        <v>0</v>
      </c>
      <c r="BX203" s="11" t="n">
        <v>0</v>
      </c>
      <c r="BY203" s="11" t="n">
        <v>80</v>
      </c>
      <c r="BZ203" s="11" t="n">
        <v>0</v>
      </c>
      <c r="CA203" s="11" t="n">
        <v>0</v>
      </c>
      <c r="CB203" s="11" t="n">
        <v>20</v>
      </c>
      <c r="CC203" s="11" t="n">
        <v>0</v>
      </c>
      <c r="CD203" s="11" t="n">
        <v>0</v>
      </c>
      <c r="CE203" s="11" t="n">
        <v>0</v>
      </c>
    </row>
    <row r="204">
      <c r="A204" s="14" t="inlineStr">
        <is>
          <t>2026-04-15</t>
        </is>
      </c>
      <c r="B204" s="8" t="n">
        <v>4</v>
      </c>
      <c r="C204" s="8" t="n">
        <v>0</v>
      </c>
      <c r="D204" s="8" t="n">
        <v>0</v>
      </c>
      <c r="E204" s="8" t="n">
        <v>0</v>
      </c>
      <c r="F204" s="8" t="n">
        <v>0</v>
      </c>
      <c r="G204" s="8" t="n">
        <v>0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0</v>
      </c>
      <c r="M204" s="8" t="n">
        <v>0</v>
      </c>
      <c r="N204" s="8" t="n">
        <v>0</v>
      </c>
      <c r="O204" s="8" t="n">
        <v>0</v>
      </c>
      <c r="P204" s="8" t="n">
        <v>0</v>
      </c>
      <c r="Q204" s="8" t="n">
        <v>0</v>
      </c>
      <c r="R204" s="8" t="n">
        <v>0</v>
      </c>
      <c r="S204" s="8" t="n">
        <v>20</v>
      </c>
      <c r="T204" s="8" t="n">
        <v>0</v>
      </c>
      <c r="U204" s="8" t="n">
        <v>0</v>
      </c>
      <c r="V204" s="8" t="n">
        <v>0</v>
      </c>
      <c r="W204" s="8" t="n">
        <v>0</v>
      </c>
      <c r="X204" s="8" t="n">
        <v>0</v>
      </c>
      <c r="Y204" s="8" t="n">
        <v>0</v>
      </c>
      <c r="Z204" s="8" t="n">
        <v>450</v>
      </c>
      <c r="AA204" s="8" t="n">
        <v>100</v>
      </c>
      <c r="AB204" s="8" t="n">
        <v>40</v>
      </c>
      <c r="AC204" s="8" t="n">
        <v>0</v>
      </c>
      <c r="AD204" s="8" t="n">
        <v>20</v>
      </c>
      <c r="AE204" s="8" t="n">
        <v>0</v>
      </c>
      <c r="AF204" s="8" t="n">
        <v>0</v>
      </c>
      <c r="AG204" s="8" t="n">
        <v>0</v>
      </c>
      <c r="AH204" s="8" t="n">
        <v>3</v>
      </c>
      <c r="AI204" s="8" t="n">
        <v>0</v>
      </c>
      <c r="AJ204" s="8" t="n">
        <v>0</v>
      </c>
      <c r="AK204" s="8" t="n">
        <v>0</v>
      </c>
      <c r="AL204" s="8" t="n">
        <v>0</v>
      </c>
      <c r="AM204" s="8" t="n">
        <v>0</v>
      </c>
      <c r="AN204" s="8" t="n">
        <v>0</v>
      </c>
      <c r="AO204" s="8" t="n">
        <v>0</v>
      </c>
      <c r="AP204" s="8" t="n">
        <v>0</v>
      </c>
      <c r="AQ204" s="8" t="n">
        <v>0</v>
      </c>
      <c r="AR204" s="8" t="n">
        <v>0</v>
      </c>
      <c r="AS204" s="8" t="n">
        <v>0</v>
      </c>
      <c r="AT204" s="8" t="n">
        <v>0</v>
      </c>
      <c r="AU204" s="8" t="n">
        <v>0</v>
      </c>
      <c r="AV204" s="8" t="n">
        <v>0</v>
      </c>
      <c r="AW204" s="8" t="n">
        <v>0</v>
      </c>
      <c r="AX204" s="8" t="n">
        <v>0</v>
      </c>
      <c r="AY204" s="8" t="n">
        <v>0</v>
      </c>
      <c r="AZ204" s="8" t="n">
        <v>0</v>
      </c>
      <c r="BA204" s="8" t="n">
        <v>0</v>
      </c>
      <c r="BB204" s="8" t="n">
        <v>0</v>
      </c>
      <c r="BC204" s="8" t="n">
        <v>0</v>
      </c>
      <c r="BD204" s="8" t="n">
        <v>0</v>
      </c>
      <c r="BE204" s="8" t="n">
        <v>0</v>
      </c>
      <c r="BF204" s="8" t="n">
        <v>0</v>
      </c>
      <c r="BG204" s="8" t="n">
        <v>0</v>
      </c>
      <c r="BH204" s="8" t="n">
        <v>200</v>
      </c>
      <c r="BI204" s="8" t="n">
        <v>0</v>
      </c>
      <c r="BJ204" s="8" t="n">
        <v>3</v>
      </c>
      <c r="BK204" s="8" t="n">
        <v>0</v>
      </c>
      <c r="BL204" s="8" t="n">
        <v>0</v>
      </c>
      <c r="BM204" s="8" t="n">
        <v>0</v>
      </c>
      <c r="BN204" s="8" t="n">
        <v>10</v>
      </c>
      <c r="BO204" s="8" t="n">
        <v>0</v>
      </c>
      <c r="BP204" s="8" t="n">
        <v>0</v>
      </c>
      <c r="BQ204" s="8" t="n">
        <v>0</v>
      </c>
      <c r="BR204" s="8" t="n">
        <v>0</v>
      </c>
      <c r="BS204" s="8" t="n">
        <v>0</v>
      </c>
      <c r="BT204" s="8" t="n">
        <v>0</v>
      </c>
      <c r="BU204" s="8" t="n">
        <v>0</v>
      </c>
      <c r="BV204" s="8" t="n">
        <v>0</v>
      </c>
      <c r="BW204" s="8" t="n">
        <v>0</v>
      </c>
      <c r="BX204" s="8" t="n">
        <v>0</v>
      </c>
      <c r="BY204" s="8" t="n">
        <v>80</v>
      </c>
      <c r="BZ204" s="8" t="n">
        <v>0</v>
      </c>
      <c r="CA204" s="8" t="n">
        <v>0</v>
      </c>
      <c r="CB204" s="8" t="n">
        <v>20</v>
      </c>
      <c r="CC204" s="8" t="n">
        <v>0</v>
      </c>
      <c r="CD204" s="8" t="n">
        <v>0</v>
      </c>
      <c r="CE204" s="8" t="n">
        <v>0</v>
      </c>
    </row>
    <row r="205">
      <c r="A205" s="15" t="inlineStr">
        <is>
          <t>2026-04-16</t>
        </is>
      </c>
      <c r="B205" s="11" t="n">
        <v>4</v>
      </c>
      <c r="C205" s="11" t="n">
        <v>0</v>
      </c>
      <c r="D205" s="11" t="n">
        <v>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0</v>
      </c>
      <c r="Q205" s="11" t="n">
        <v>0</v>
      </c>
      <c r="R205" s="11" t="n">
        <v>0</v>
      </c>
      <c r="S205" s="11" t="n">
        <v>20</v>
      </c>
      <c r="T205" s="11" t="n">
        <v>0</v>
      </c>
      <c r="U205" s="11" t="n">
        <v>0</v>
      </c>
      <c r="V205" s="11" t="n">
        <v>0</v>
      </c>
      <c r="W205" s="11" t="n">
        <v>0</v>
      </c>
      <c r="X205" s="11" t="n">
        <v>0</v>
      </c>
      <c r="Y205" s="11" t="n">
        <v>0</v>
      </c>
      <c r="Z205" s="11" t="n">
        <v>450</v>
      </c>
      <c r="AA205" s="11" t="n">
        <v>100</v>
      </c>
      <c r="AB205" s="11" t="n">
        <v>40</v>
      </c>
      <c r="AC205" s="11" t="n">
        <v>0</v>
      </c>
      <c r="AD205" s="11" t="n">
        <v>20</v>
      </c>
      <c r="AE205" s="11" t="n">
        <v>0</v>
      </c>
      <c r="AF205" s="11" t="n">
        <v>0</v>
      </c>
      <c r="AG205" s="11" t="n">
        <v>0</v>
      </c>
      <c r="AH205" s="11" t="n">
        <v>3</v>
      </c>
      <c r="AI205" s="11" t="n">
        <v>0</v>
      </c>
      <c r="AJ205" s="11" t="n">
        <v>0</v>
      </c>
      <c r="AK205" s="11" t="n">
        <v>0</v>
      </c>
      <c r="AL205" s="11" t="n">
        <v>0</v>
      </c>
      <c r="AM205" s="11" t="n">
        <v>0</v>
      </c>
      <c r="AN205" s="11" t="n">
        <v>0</v>
      </c>
      <c r="AO205" s="11" t="n">
        <v>0</v>
      </c>
      <c r="AP205" s="11" t="n">
        <v>0</v>
      </c>
      <c r="AQ205" s="11" t="n">
        <v>0</v>
      </c>
      <c r="AR205" s="11" t="n">
        <v>0</v>
      </c>
      <c r="AS205" s="11" t="n">
        <v>0</v>
      </c>
      <c r="AT205" s="11" t="n">
        <v>0</v>
      </c>
      <c r="AU205" s="11" t="n">
        <v>0</v>
      </c>
      <c r="AV205" s="11" t="n">
        <v>0</v>
      </c>
      <c r="AW205" s="11" t="n">
        <v>0</v>
      </c>
      <c r="AX205" s="11" t="n">
        <v>0</v>
      </c>
      <c r="AY205" s="11" t="n">
        <v>0</v>
      </c>
      <c r="AZ205" s="11" t="n">
        <v>0</v>
      </c>
      <c r="BA205" s="11" t="n">
        <v>0</v>
      </c>
      <c r="BB205" s="11" t="n">
        <v>0</v>
      </c>
      <c r="BC205" s="11" t="n">
        <v>0</v>
      </c>
      <c r="BD205" s="11" t="n">
        <v>0</v>
      </c>
      <c r="BE205" s="11" t="n">
        <v>0</v>
      </c>
      <c r="BF205" s="11" t="n">
        <v>0</v>
      </c>
      <c r="BG205" s="11" t="n">
        <v>0</v>
      </c>
      <c r="BH205" s="11" t="n">
        <v>200</v>
      </c>
      <c r="BI205" s="11" t="n">
        <v>0</v>
      </c>
      <c r="BJ205" s="11" t="n">
        <v>3</v>
      </c>
      <c r="BK205" s="11" t="n">
        <v>0</v>
      </c>
      <c r="BL205" s="11" t="n">
        <v>0</v>
      </c>
      <c r="BM205" s="11" t="n">
        <v>0</v>
      </c>
      <c r="BN205" s="11" t="n">
        <v>0</v>
      </c>
      <c r="BO205" s="11" t="n">
        <v>0</v>
      </c>
      <c r="BP205" s="11" t="n">
        <v>0</v>
      </c>
      <c r="BQ205" s="11" t="n">
        <v>0</v>
      </c>
      <c r="BR205" s="11" t="n">
        <v>0</v>
      </c>
      <c r="BS205" s="11" t="n">
        <v>0</v>
      </c>
      <c r="BT205" s="11" t="n">
        <v>0</v>
      </c>
      <c r="BU205" s="11" t="n">
        <v>0</v>
      </c>
      <c r="BV205" s="11" t="n">
        <v>0</v>
      </c>
      <c r="BW205" s="11" t="n">
        <v>0</v>
      </c>
      <c r="BX205" s="11" t="n">
        <v>1</v>
      </c>
      <c r="BY205" s="11" t="n">
        <v>80</v>
      </c>
      <c r="BZ205" s="11" t="n">
        <v>0</v>
      </c>
      <c r="CA205" s="11" t="n">
        <v>0</v>
      </c>
      <c r="CB205" s="11" t="n">
        <v>20</v>
      </c>
      <c r="CC205" s="11" t="n">
        <v>0</v>
      </c>
      <c r="CD205" s="11" t="n">
        <v>0</v>
      </c>
      <c r="CE205" s="11" t="n">
        <v>0</v>
      </c>
    </row>
    <row r="206">
      <c r="A206" s="14" t="inlineStr">
        <is>
          <t>2026-04-17</t>
        </is>
      </c>
      <c r="B206" s="8" t="n">
        <v>4</v>
      </c>
      <c r="C206" s="8" t="n">
        <v>0</v>
      </c>
      <c r="D206" s="8" t="n">
        <v>0</v>
      </c>
      <c r="E206" s="8" t="n">
        <v>0</v>
      </c>
      <c r="F206" s="8" t="n">
        <v>0</v>
      </c>
      <c r="G206" s="8" t="n">
        <v>0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0</v>
      </c>
      <c r="M206" s="8" t="n">
        <v>0</v>
      </c>
      <c r="N206" s="8" t="n">
        <v>0</v>
      </c>
      <c r="O206" s="8" t="n">
        <v>0</v>
      </c>
      <c r="P206" s="8" t="n">
        <v>0</v>
      </c>
      <c r="Q206" s="8" t="n">
        <v>0</v>
      </c>
      <c r="R206" s="8" t="n">
        <v>0</v>
      </c>
      <c r="S206" s="8" t="n">
        <v>20</v>
      </c>
      <c r="T206" s="8" t="n">
        <v>0</v>
      </c>
      <c r="U206" s="8" t="n">
        <v>0</v>
      </c>
      <c r="V206" s="8" t="n">
        <v>0</v>
      </c>
      <c r="W206" s="8" t="n">
        <v>0</v>
      </c>
      <c r="X206" s="8" t="n">
        <v>0</v>
      </c>
      <c r="Y206" s="8" t="n">
        <v>0</v>
      </c>
      <c r="Z206" s="8" t="n">
        <v>450</v>
      </c>
      <c r="AA206" s="8" t="n">
        <v>100</v>
      </c>
      <c r="AB206" s="8" t="n">
        <v>40</v>
      </c>
      <c r="AC206" s="8" t="n">
        <v>0</v>
      </c>
      <c r="AD206" s="8" t="n">
        <v>10</v>
      </c>
      <c r="AE206" s="8" t="n">
        <v>0</v>
      </c>
      <c r="AF206" s="8" t="n">
        <v>0</v>
      </c>
      <c r="AG206" s="8" t="n">
        <v>0</v>
      </c>
      <c r="AH206" s="8" t="n">
        <v>3</v>
      </c>
      <c r="AI206" s="8" t="n">
        <v>0</v>
      </c>
      <c r="AJ206" s="8" t="n">
        <v>0</v>
      </c>
      <c r="AK206" s="8" t="n">
        <v>0</v>
      </c>
      <c r="AL206" s="8" t="n">
        <v>0</v>
      </c>
      <c r="AM206" s="8" t="n">
        <v>0</v>
      </c>
      <c r="AN206" s="8" t="n">
        <v>0</v>
      </c>
      <c r="AO206" s="8" t="n">
        <v>0</v>
      </c>
      <c r="AP206" s="8" t="n">
        <v>0</v>
      </c>
      <c r="AQ206" s="8" t="n">
        <v>0</v>
      </c>
      <c r="AR206" s="8" t="n">
        <v>0</v>
      </c>
      <c r="AS206" s="8" t="n">
        <v>0</v>
      </c>
      <c r="AT206" s="8" t="n">
        <v>0</v>
      </c>
      <c r="AU206" s="8" t="n">
        <v>0</v>
      </c>
      <c r="AV206" s="8" t="n">
        <v>0</v>
      </c>
      <c r="AW206" s="8" t="n">
        <v>0</v>
      </c>
      <c r="AX206" s="8" t="n">
        <v>0</v>
      </c>
      <c r="AY206" s="8" t="n">
        <v>0</v>
      </c>
      <c r="AZ206" s="8" t="n">
        <v>0</v>
      </c>
      <c r="BA206" s="8" t="n">
        <v>0</v>
      </c>
      <c r="BB206" s="8" t="n">
        <v>0</v>
      </c>
      <c r="BC206" s="8" t="n">
        <v>0</v>
      </c>
      <c r="BD206" s="8" t="n">
        <v>0</v>
      </c>
      <c r="BE206" s="8" t="n">
        <v>0</v>
      </c>
      <c r="BF206" s="8" t="n">
        <v>0</v>
      </c>
      <c r="BG206" s="8" t="n">
        <v>0</v>
      </c>
      <c r="BH206" s="8" t="n">
        <v>200</v>
      </c>
      <c r="BI206" s="8" t="n">
        <v>0</v>
      </c>
      <c r="BJ206" s="8" t="n">
        <v>0</v>
      </c>
      <c r="BK206" s="8" t="n">
        <v>0</v>
      </c>
      <c r="BL206" s="8" t="n">
        <v>0</v>
      </c>
      <c r="BM206" s="8" t="n">
        <v>0</v>
      </c>
      <c r="BN206" s="8" t="n">
        <v>0</v>
      </c>
      <c r="BO206" s="8" t="n">
        <v>0</v>
      </c>
      <c r="BP206" s="8" t="n">
        <v>0</v>
      </c>
      <c r="BQ206" s="8" t="n">
        <v>0</v>
      </c>
      <c r="BR206" s="8" t="n">
        <v>0</v>
      </c>
      <c r="BS206" s="8" t="n">
        <v>0</v>
      </c>
      <c r="BT206" s="8" t="n">
        <v>0</v>
      </c>
      <c r="BU206" s="8" t="n">
        <v>0</v>
      </c>
      <c r="BV206" s="8" t="n">
        <v>0</v>
      </c>
      <c r="BW206" s="8" t="n">
        <v>0</v>
      </c>
      <c r="BX206" s="8" t="n">
        <v>0</v>
      </c>
      <c r="BY206" s="8" t="n">
        <v>80</v>
      </c>
      <c r="BZ206" s="8" t="n">
        <v>0</v>
      </c>
      <c r="CA206" s="8" t="n">
        <v>0</v>
      </c>
      <c r="CB206" s="8" t="n">
        <v>20</v>
      </c>
      <c r="CC206" s="8" t="n">
        <v>0</v>
      </c>
      <c r="CD206" s="8" t="n">
        <v>0</v>
      </c>
      <c r="CE206" s="8" t="n">
        <v>0</v>
      </c>
    </row>
    <row r="207">
      <c r="A207" s="15" t="inlineStr">
        <is>
          <t>2026-04-20</t>
        </is>
      </c>
      <c r="B207" s="11" t="n">
        <v>4</v>
      </c>
      <c r="C207" s="11" t="n">
        <v>0</v>
      </c>
      <c r="D207" s="11" t="n">
        <v>0</v>
      </c>
      <c r="E207" s="11" t="n">
        <v>0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1</v>
      </c>
      <c r="O207" s="11" t="n">
        <v>0</v>
      </c>
      <c r="P207" s="11" t="n">
        <v>0</v>
      </c>
      <c r="Q207" s="11" t="n">
        <v>0</v>
      </c>
      <c r="R207" s="11" t="n">
        <v>0</v>
      </c>
      <c r="S207" s="11" t="n">
        <v>20</v>
      </c>
      <c r="T207" s="11" t="n">
        <v>0</v>
      </c>
      <c r="U207" s="11" t="n">
        <v>0</v>
      </c>
      <c r="V207" s="11" t="n">
        <v>0</v>
      </c>
      <c r="W207" s="11" t="n">
        <v>0</v>
      </c>
      <c r="X207" s="11" t="n">
        <v>0</v>
      </c>
      <c r="Y207" s="11" t="n">
        <v>0</v>
      </c>
      <c r="Z207" s="11" t="n">
        <v>450</v>
      </c>
      <c r="AA207" s="11" t="n">
        <v>100</v>
      </c>
      <c r="AB207" s="11" t="n">
        <v>40</v>
      </c>
      <c r="AC207" s="11" t="n">
        <v>0</v>
      </c>
      <c r="AD207" s="11" t="n">
        <v>10</v>
      </c>
      <c r="AE207" s="11" t="n">
        <v>0</v>
      </c>
      <c r="AF207" s="11" t="n">
        <v>0</v>
      </c>
      <c r="AG207" s="11" t="n">
        <v>0</v>
      </c>
      <c r="AH207" s="11" t="n">
        <v>3</v>
      </c>
      <c r="AI207" s="11" t="n">
        <v>0</v>
      </c>
      <c r="AJ207" s="11" t="n">
        <v>0</v>
      </c>
      <c r="AK207" s="11" t="n">
        <v>7</v>
      </c>
      <c r="AL207" s="11" t="n">
        <v>0</v>
      </c>
      <c r="AM207" s="11" t="n">
        <v>0</v>
      </c>
      <c r="AN207" s="11" t="n">
        <v>0</v>
      </c>
      <c r="AO207" s="11" t="n">
        <v>0</v>
      </c>
      <c r="AP207" s="11" t="n">
        <v>0</v>
      </c>
      <c r="AQ207" s="11" t="n">
        <v>0</v>
      </c>
      <c r="AR207" s="11" t="n">
        <v>0</v>
      </c>
      <c r="AS207" s="11" t="n">
        <v>0</v>
      </c>
      <c r="AT207" s="11" t="n">
        <v>0</v>
      </c>
      <c r="AU207" s="11" t="n">
        <v>0</v>
      </c>
      <c r="AV207" s="11" t="n">
        <v>0</v>
      </c>
      <c r="AW207" s="11" t="n">
        <v>0</v>
      </c>
      <c r="AX207" s="11" t="n">
        <v>0</v>
      </c>
      <c r="AY207" s="11" t="n">
        <v>0</v>
      </c>
      <c r="AZ207" s="11" t="n">
        <v>0</v>
      </c>
      <c r="BA207" s="11" t="n">
        <v>0</v>
      </c>
      <c r="BB207" s="11" t="n">
        <v>0</v>
      </c>
      <c r="BC207" s="11" t="n">
        <v>0</v>
      </c>
      <c r="BD207" s="11" t="n">
        <v>0</v>
      </c>
      <c r="BE207" s="11" t="n">
        <v>0</v>
      </c>
      <c r="BF207" s="11" t="n">
        <v>0</v>
      </c>
      <c r="BG207" s="11" t="n">
        <v>0</v>
      </c>
      <c r="BH207" s="11" t="n">
        <v>200</v>
      </c>
      <c r="BI207" s="11" t="n">
        <v>0</v>
      </c>
      <c r="BJ207" s="11" t="n">
        <v>0</v>
      </c>
      <c r="BK207" s="11" t="n">
        <v>0</v>
      </c>
      <c r="BL207" s="11" t="n">
        <v>0</v>
      </c>
      <c r="BM207" s="11" t="n">
        <v>0</v>
      </c>
      <c r="BN207" s="11" t="n">
        <v>0</v>
      </c>
      <c r="BO207" s="11" t="n">
        <v>0</v>
      </c>
      <c r="BP207" s="11" t="n">
        <v>0</v>
      </c>
      <c r="BQ207" s="11" t="n">
        <v>0</v>
      </c>
      <c r="BR207" s="11" t="n">
        <v>0</v>
      </c>
      <c r="BS207" s="11" t="n">
        <v>0</v>
      </c>
      <c r="BT207" s="11" t="n">
        <v>0</v>
      </c>
      <c r="BU207" s="11" t="n">
        <v>0</v>
      </c>
      <c r="BV207" s="11" t="n">
        <v>0</v>
      </c>
      <c r="BW207" s="11" t="n">
        <v>0</v>
      </c>
      <c r="BX207" s="11" t="n">
        <v>0</v>
      </c>
      <c r="BY207" s="11" t="n">
        <v>80</v>
      </c>
      <c r="BZ207" s="11" t="n">
        <v>0</v>
      </c>
      <c r="CA207" s="11" t="n">
        <v>0</v>
      </c>
      <c r="CB207" s="11" t="n">
        <v>20</v>
      </c>
      <c r="CC207" s="11" t="n">
        <v>0</v>
      </c>
      <c r="CD207" s="11" t="n">
        <v>0</v>
      </c>
      <c r="CE207" s="11" t="n">
        <v>0</v>
      </c>
    </row>
    <row r="208">
      <c r="A208" s="14" t="inlineStr">
        <is>
          <t>2026-04-21</t>
        </is>
      </c>
      <c r="B208" s="8" t="n">
        <v>4</v>
      </c>
      <c r="C208" s="8" t="n">
        <v>0</v>
      </c>
      <c r="D208" s="8" t="n">
        <v>0</v>
      </c>
      <c r="E208" s="8" t="n">
        <v>0</v>
      </c>
      <c r="F208" s="8" t="n">
        <v>0</v>
      </c>
      <c r="G208" s="8" t="n">
        <v>0</v>
      </c>
      <c r="H208" s="8" t="n">
        <v>0</v>
      </c>
      <c r="I208" s="8" t="n">
        <v>0</v>
      </c>
      <c r="J208" s="8" t="n">
        <v>0</v>
      </c>
      <c r="K208" s="8" t="n">
        <v>0</v>
      </c>
      <c r="L208" s="8" t="n">
        <v>0</v>
      </c>
      <c r="M208" s="8" t="n">
        <v>0</v>
      </c>
      <c r="N208" s="8" t="n">
        <v>1</v>
      </c>
      <c r="O208" s="8" t="n">
        <v>0</v>
      </c>
      <c r="P208" s="8" t="n">
        <v>0</v>
      </c>
      <c r="Q208" s="8" t="n">
        <v>0</v>
      </c>
      <c r="R208" s="8" t="n">
        <v>0</v>
      </c>
      <c r="S208" s="8" t="n">
        <v>20</v>
      </c>
      <c r="T208" s="8" t="n">
        <v>0</v>
      </c>
      <c r="U208" s="8" t="n">
        <v>0</v>
      </c>
      <c r="V208" s="8" t="n">
        <v>0</v>
      </c>
      <c r="W208" s="8" t="n">
        <v>0</v>
      </c>
      <c r="X208" s="8" t="n">
        <v>0</v>
      </c>
      <c r="Y208" s="8" t="n">
        <v>0</v>
      </c>
      <c r="Z208" s="8" t="n">
        <v>450</v>
      </c>
      <c r="AA208" s="8" t="n">
        <v>100</v>
      </c>
      <c r="AB208" s="8" t="n">
        <v>40</v>
      </c>
      <c r="AC208" s="8" t="n">
        <v>0</v>
      </c>
      <c r="AD208" s="8" t="n">
        <v>10</v>
      </c>
      <c r="AE208" s="8" t="n">
        <v>0</v>
      </c>
      <c r="AF208" s="8" t="n">
        <v>0</v>
      </c>
      <c r="AG208" s="8" t="n">
        <v>0</v>
      </c>
      <c r="AH208" s="8" t="n">
        <v>3</v>
      </c>
      <c r="AI208" s="8" t="n">
        <v>0</v>
      </c>
      <c r="AJ208" s="8" t="n">
        <v>0</v>
      </c>
      <c r="AK208" s="8" t="n">
        <v>7</v>
      </c>
      <c r="AL208" s="8" t="n">
        <v>0</v>
      </c>
      <c r="AM208" s="8" t="n">
        <v>0</v>
      </c>
      <c r="AN208" s="8" t="n">
        <v>0</v>
      </c>
      <c r="AO208" s="8" t="n">
        <v>0</v>
      </c>
      <c r="AP208" s="8" t="n">
        <v>0</v>
      </c>
      <c r="AQ208" s="8" t="n">
        <v>0</v>
      </c>
      <c r="AR208" s="8" t="n">
        <v>0</v>
      </c>
      <c r="AS208" s="8" t="n">
        <v>0</v>
      </c>
      <c r="AT208" s="8" t="n">
        <v>0</v>
      </c>
      <c r="AU208" s="8" t="n">
        <v>0</v>
      </c>
      <c r="AV208" s="8" t="n">
        <v>0</v>
      </c>
      <c r="AW208" s="8" t="n">
        <v>0</v>
      </c>
      <c r="AX208" s="8" t="n">
        <v>0</v>
      </c>
      <c r="AY208" s="8" t="n">
        <v>0</v>
      </c>
      <c r="AZ208" s="8" t="n">
        <v>0</v>
      </c>
      <c r="BA208" s="8" t="n">
        <v>0</v>
      </c>
      <c r="BB208" s="8" t="n">
        <v>0</v>
      </c>
      <c r="BC208" s="8" t="n">
        <v>0</v>
      </c>
      <c r="BD208" s="8" t="n">
        <v>0</v>
      </c>
      <c r="BE208" s="8" t="n">
        <v>0</v>
      </c>
      <c r="BF208" s="8" t="n">
        <v>0</v>
      </c>
      <c r="BG208" s="8" t="n">
        <v>0</v>
      </c>
      <c r="BH208" s="8" t="n">
        <v>200</v>
      </c>
      <c r="BI208" s="8" t="n">
        <v>0</v>
      </c>
      <c r="BJ208" s="8" t="n">
        <v>0</v>
      </c>
      <c r="BK208" s="8" t="n">
        <v>0</v>
      </c>
      <c r="BL208" s="8" t="n">
        <v>0</v>
      </c>
      <c r="BM208" s="8" t="n">
        <v>0</v>
      </c>
      <c r="BN208" s="8" t="n">
        <v>0</v>
      </c>
      <c r="BO208" s="8" t="n">
        <v>0</v>
      </c>
      <c r="BP208" s="8" t="n">
        <v>0</v>
      </c>
      <c r="BQ208" s="8" t="n">
        <v>0</v>
      </c>
      <c r="BR208" s="8" t="n">
        <v>0</v>
      </c>
      <c r="BS208" s="8" t="n">
        <v>0</v>
      </c>
      <c r="BT208" s="8" t="n">
        <v>0</v>
      </c>
      <c r="BU208" s="8" t="n">
        <v>0</v>
      </c>
      <c r="BV208" s="8" t="n">
        <v>0</v>
      </c>
      <c r="BW208" s="8" t="n">
        <v>0</v>
      </c>
      <c r="BX208" s="8" t="n">
        <v>0</v>
      </c>
      <c r="BY208" s="8" t="n">
        <v>80</v>
      </c>
      <c r="BZ208" s="8" t="n">
        <v>10</v>
      </c>
      <c r="CA208" s="8" t="n">
        <v>0</v>
      </c>
      <c r="CB208" s="8" t="n">
        <v>20</v>
      </c>
      <c r="CC208" s="8" t="n">
        <v>0</v>
      </c>
      <c r="CD208" s="8" t="n">
        <v>0</v>
      </c>
      <c r="CE208" s="8" t="n">
        <v>2</v>
      </c>
    </row>
    <row r="209">
      <c r="A209" s="15" t="inlineStr">
        <is>
          <t>2026-04-22</t>
        </is>
      </c>
      <c r="B209" s="11" t="n">
        <v>4</v>
      </c>
      <c r="C209" s="11" t="n">
        <v>0</v>
      </c>
      <c r="D209" s="11" t="n">
        <v>0</v>
      </c>
      <c r="E209" s="11" t="n">
        <v>0</v>
      </c>
      <c r="F209" s="11" t="n">
        <v>0</v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1</v>
      </c>
      <c r="O209" s="11" t="n">
        <v>0</v>
      </c>
      <c r="P209" s="11" t="n">
        <v>0</v>
      </c>
      <c r="Q209" s="11" t="n">
        <v>0</v>
      </c>
      <c r="R209" s="11" t="n">
        <v>0</v>
      </c>
      <c r="S209" s="11" t="n">
        <v>20</v>
      </c>
      <c r="T209" s="11" t="n">
        <v>0</v>
      </c>
      <c r="U209" s="11" t="n">
        <v>0</v>
      </c>
      <c r="V209" s="11" t="n">
        <v>0</v>
      </c>
      <c r="W209" s="11" t="n">
        <v>0</v>
      </c>
      <c r="X209" s="11" t="n">
        <v>0</v>
      </c>
      <c r="Y209" s="11" t="n">
        <v>0</v>
      </c>
      <c r="Z209" s="11" t="n">
        <v>450</v>
      </c>
      <c r="AA209" s="11" t="n">
        <v>100</v>
      </c>
      <c r="AB209" s="11" t="n">
        <v>40</v>
      </c>
      <c r="AC209" s="11" t="n">
        <v>0</v>
      </c>
      <c r="AD209" s="11" t="n">
        <v>10</v>
      </c>
      <c r="AE209" s="11" t="n">
        <v>0</v>
      </c>
      <c r="AF209" s="11" t="n">
        <v>0</v>
      </c>
      <c r="AG209" s="11" t="n">
        <v>0</v>
      </c>
      <c r="AH209" s="11" t="n">
        <v>3</v>
      </c>
      <c r="AI209" s="11" t="n">
        <v>0</v>
      </c>
      <c r="AJ209" s="11" t="n">
        <v>0</v>
      </c>
      <c r="AK209" s="11" t="n">
        <v>7</v>
      </c>
      <c r="AL209" s="11" t="n">
        <v>0</v>
      </c>
      <c r="AM209" s="11" t="n">
        <v>0</v>
      </c>
      <c r="AN209" s="11" t="n">
        <v>0</v>
      </c>
      <c r="AO209" s="11" t="n">
        <v>0</v>
      </c>
      <c r="AP209" s="11" t="n">
        <v>0</v>
      </c>
      <c r="AQ209" s="11" t="n">
        <v>0</v>
      </c>
      <c r="AR209" s="11" t="n">
        <v>0</v>
      </c>
      <c r="AS209" s="11" t="n">
        <v>0</v>
      </c>
      <c r="AT209" s="11" t="n">
        <v>0</v>
      </c>
      <c r="AU209" s="11" t="n">
        <v>0</v>
      </c>
      <c r="AV209" s="11" t="n">
        <v>0</v>
      </c>
      <c r="AW209" s="11" t="n">
        <v>0</v>
      </c>
      <c r="AX209" s="11" t="n">
        <v>0</v>
      </c>
      <c r="AY209" s="11" t="n">
        <v>0</v>
      </c>
      <c r="AZ209" s="11" t="n">
        <v>0</v>
      </c>
      <c r="BA209" s="11" t="n">
        <v>0</v>
      </c>
      <c r="BB209" s="11" t="n">
        <v>0</v>
      </c>
      <c r="BC209" s="11" t="n">
        <v>0</v>
      </c>
      <c r="BD209" s="11" t="n">
        <v>0</v>
      </c>
      <c r="BE209" s="11" t="n">
        <v>0</v>
      </c>
      <c r="BF209" s="11" t="n">
        <v>0</v>
      </c>
      <c r="BG209" s="11" t="n">
        <v>0</v>
      </c>
      <c r="BH209" s="11" t="n">
        <v>200</v>
      </c>
      <c r="BI209" s="11" t="n">
        <v>0</v>
      </c>
      <c r="BJ209" s="11" t="n">
        <v>0</v>
      </c>
      <c r="BK209" s="11" t="n">
        <v>0</v>
      </c>
      <c r="BL209" s="11" t="n">
        <v>0</v>
      </c>
      <c r="BM209" s="11" t="n">
        <v>0</v>
      </c>
      <c r="BN209" s="11" t="n">
        <v>0</v>
      </c>
      <c r="BO209" s="11" t="n">
        <v>0</v>
      </c>
      <c r="BP209" s="11" t="n">
        <v>0</v>
      </c>
      <c r="BQ209" s="11" t="n">
        <v>0</v>
      </c>
      <c r="BR209" s="11" t="n">
        <v>0</v>
      </c>
      <c r="BS209" s="11" t="n">
        <v>0</v>
      </c>
      <c r="BT209" s="11" t="n">
        <v>0</v>
      </c>
      <c r="BU209" s="11" t="n">
        <v>0</v>
      </c>
      <c r="BV209" s="11" t="n">
        <v>0</v>
      </c>
      <c r="BW209" s="11" t="n">
        <v>0</v>
      </c>
      <c r="BX209" s="11" t="n">
        <v>0</v>
      </c>
      <c r="BY209" s="11" t="n">
        <v>80</v>
      </c>
      <c r="BZ209" s="11" t="n">
        <v>10</v>
      </c>
      <c r="CA209" s="11" t="n">
        <v>0</v>
      </c>
      <c r="CB209" s="11" t="n">
        <v>20</v>
      </c>
      <c r="CC209" s="11" t="n">
        <v>0</v>
      </c>
      <c r="CD209" s="11" t="n">
        <v>0</v>
      </c>
      <c r="CE209" s="11" t="n">
        <v>2</v>
      </c>
    </row>
    <row r="210">
      <c r="A210" s="14" t="inlineStr">
        <is>
          <t>2026-04-23</t>
        </is>
      </c>
      <c r="B210" s="8" t="n">
        <v>4</v>
      </c>
      <c r="C210" s="8" t="n">
        <v>0</v>
      </c>
      <c r="D210" s="8" t="n">
        <v>0</v>
      </c>
      <c r="E210" s="8" t="n">
        <v>0</v>
      </c>
      <c r="F210" s="8" t="n">
        <v>0</v>
      </c>
      <c r="G210" s="8" t="n">
        <v>0</v>
      </c>
      <c r="H210" s="8" t="n">
        <v>0</v>
      </c>
      <c r="I210" s="8" t="n">
        <v>0</v>
      </c>
      <c r="J210" s="8" t="n">
        <v>0</v>
      </c>
      <c r="K210" s="8" t="n">
        <v>0</v>
      </c>
      <c r="L210" s="8" t="n">
        <v>0</v>
      </c>
      <c r="M210" s="8" t="n">
        <v>0</v>
      </c>
      <c r="N210" s="8" t="n">
        <v>1</v>
      </c>
      <c r="O210" s="8" t="n">
        <v>0</v>
      </c>
      <c r="P210" s="8" t="n">
        <v>0</v>
      </c>
      <c r="Q210" s="8" t="n">
        <v>0</v>
      </c>
      <c r="R210" s="8" t="n">
        <v>0</v>
      </c>
      <c r="S210" s="8" t="n">
        <v>20</v>
      </c>
      <c r="T210" s="8" t="n">
        <v>0</v>
      </c>
      <c r="U210" s="8" t="n">
        <v>0</v>
      </c>
      <c r="V210" s="8" t="n">
        <v>0</v>
      </c>
      <c r="W210" s="8" t="n">
        <v>0</v>
      </c>
      <c r="X210" s="8" t="n">
        <v>0</v>
      </c>
      <c r="Y210" s="8" t="n">
        <v>0</v>
      </c>
      <c r="Z210" s="8" t="n">
        <v>450</v>
      </c>
      <c r="AA210" s="8" t="n">
        <v>100</v>
      </c>
      <c r="AB210" s="8" t="n">
        <v>40</v>
      </c>
      <c r="AC210" s="8" t="n">
        <v>0</v>
      </c>
      <c r="AD210" s="8" t="n">
        <v>10</v>
      </c>
      <c r="AE210" s="8" t="n">
        <v>0</v>
      </c>
      <c r="AF210" s="8" t="n">
        <v>0</v>
      </c>
      <c r="AG210" s="8" t="n">
        <v>0</v>
      </c>
      <c r="AH210" s="8" t="n">
        <v>0</v>
      </c>
      <c r="AI210" s="8" t="n">
        <v>0</v>
      </c>
      <c r="AJ210" s="8" t="n">
        <v>0</v>
      </c>
      <c r="AK210" s="8" t="n">
        <v>0</v>
      </c>
      <c r="AL210" s="8" t="n">
        <v>0</v>
      </c>
      <c r="AM210" s="8" t="n">
        <v>0</v>
      </c>
      <c r="AN210" s="8" t="n">
        <v>0</v>
      </c>
      <c r="AO210" s="8" t="n">
        <v>0</v>
      </c>
      <c r="AP210" s="8" t="n">
        <v>0</v>
      </c>
      <c r="AQ210" s="8" t="n">
        <v>0</v>
      </c>
      <c r="AR210" s="8" t="n">
        <v>0</v>
      </c>
      <c r="AS210" s="8" t="n">
        <v>0</v>
      </c>
      <c r="AT210" s="8" t="n">
        <v>0</v>
      </c>
      <c r="AU210" s="8" t="n">
        <v>0</v>
      </c>
      <c r="AV210" s="8" t="n">
        <v>0</v>
      </c>
      <c r="AW210" s="8" t="n">
        <v>0</v>
      </c>
      <c r="AX210" s="8" t="n">
        <v>0</v>
      </c>
      <c r="AY210" s="8" t="n">
        <v>0</v>
      </c>
      <c r="AZ210" s="8" t="n">
        <v>0</v>
      </c>
      <c r="BA210" s="8" t="n">
        <v>0</v>
      </c>
      <c r="BB210" s="8" t="n">
        <v>0</v>
      </c>
      <c r="BC210" s="8" t="n">
        <v>0</v>
      </c>
      <c r="BD210" s="8" t="n">
        <v>0</v>
      </c>
      <c r="BE210" s="8" t="n">
        <v>0</v>
      </c>
      <c r="BF210" s="8" t="n">
        <v>0</v>
      </c>
      <c r="BG210" s="8" t="n">
        <v>0</v>
      </c>
      <c r="BH210" s="8" t="n">
        <v>200</v>
      </c>
      <c r="BI210" s="8" t="n">
        <v>0</v>
      </c>
      <c r="BJ210" s="8" t="n">
        <v>0</v>
      </c>
      <c r="BK210" s="8" t="n">
        <v>0</v>
      </c>
      <c r="BL210" s="8" t="n">
        <v>0</v>
      </c>
      <c r="BM210" s="8" t="n">
        <v>0</v>
      </c>
      <c r="BN210" s="8" t="n">
        <v>0</v>
      </c>
      <c r="BO210" s="8" t="n">
        <v>0</v>
      </c>
      <c r="BP210" s="8" t="n">
        <v>0</v>
      </c>
      <c r="BQ210" s="8" t="n">
        <v>0</v>
      </c>
      <c r="BR210" s="8" t="n">
        <v>0</v>
      </c>
      <c r="BS210" s="8" t="n">
        <v>0</v>
      </c>
      <c r="BT210" s="8" t="n">
        <v>7</v>
      </c>
      <c r="BU210" s="8" t="n">
        <v>0</v>
      </c>
      <c r="BV210" s="8" t="n">
        <v>0</v>
      </c>
      <c r="BW210" s="8" t="n">
        <v>0</v>
      </c>
      <c r="BX210" s="8" t="n">
        <v>0</v>
      </c>
      <c r="BY210" s="8" t="n">
        <v>80</v>
      </c>
      <c r="BZ210" s="8" t="n">
        <v>20</v>
      </c>
      <c r="CA210" s="8" t="n">
        <v>0</v>
      </c>
      <c r="CB210" s="8" t="n">
        <v>20</v>
      </c>
      <c r="CC210" s="8" t="n">
        <v>0</v>
      </c>
      <c r="CD210" s="8" t="n">
        <v>0</v>
      </c>
      <c r="CE210" s="8" t="n">
        <v>2</v>
      </c>
    </row>
    <row r="211">
      <c r="A211" s="15" t="inlineStr">
        <is>
          <t>2026-04-24</t>
        </is>
      </c>
      <c r="B211" s="11" t="n">
        <v>4</v>
      </c>
      <c r="C211" s="11" t="n">
        <v>0</v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1</v>
      </c>
      <c r="O211" s="11" t="n">
        <v>0</v>
      </c>
      <c r="P211" s="11" t="n">
        <v>0</v>
      </c>
      <c r="Q211" s="11" t="n">
        <v>0</v>
      </c>
      <c r="R211" s="11" t="n">
        <v>0</v>
      </c>
      <c r="S211" s="11" t="n">
        <v>20</v>
      </c>
      <c r="T211" s="11" t="n">
        <v>0</v>
      </c>
      <c r="U211" s="11" t="n">
        <v>0</v>
      </c>
      <c r="V211" s="11" t="n">
        <v>0</v>
      </c>
      <c r="W211" s="11" t="n">
        <v>0</v>
      </c>
      <c r="X211" s="11" t="n">
        <v>0</v>
      </c>
      <c r="Y211" s="11" t="n">
        <v>0</v>
      </c>
      <c r="Z211" s="11" t="n">
        <v>450</v>
      </c>
      <c r="AA211" s="11" t="n">
        <v>100</v>
      </c>
      <c r="AB211" s="11" t="n">
        <v>40</v>
      </c>
      <c r="AC211" s="11" t="n">
        <v>0</v>
      </c>
      <c r="AD211" s="11" t="n">
        <v>10</v>
      </c>
      <c r="AE211" s="11" t="n">
        <v>0</v>
      </c>
      <c r="AF211" s="11" t="n">
        <v>0</v>
      </c>
      <c r="AG211" s="11" t="n">
        <v>0</v>
      </c>
      <c r="AH211" s="11" t="n">
        <v>0</v>
      </c>
      <c r="AI211" s="11" t="n">
        <v>0</v>
      </c>
      <c r="AJ211" s="11" t="n">
        <v>0</v>
      </c>
      <c r="AK211" s="11" t="n">
        <v>0</v>
      </c>
      <c r="AL211" s="11" t="n">
        <v>0</v>
      </c>
      <c r="AM211" s="11" t="n">
        <v>0</v>
      </c>
      <c r="AN211" s="11" t="n">
        <v>0</v>
      </c>
      <c r="AO211" s="11" t="n">
        <v>0</v>
      </c>
      <c r="AP211" s="11" t="n">
        <v>0</v>
      </c>
      <c r="AQ211" s="11" t="n">
        <v>0</v>
      </c>
      <c r="AR211" s="11" t="n">
        <v>0</v>
      </c>
      <c r="AS211" s="11" t="n">
        <v>0</v>
      </c>
      <c r="AT211" s="11" t="n">
        <v>0</v>
      </c>
      <c r="AU211" s="11" t="n">
        <v>0</v>
      </c>
      <c r="AV211" s="11" t="n">
        <v>0</v>
      </c>
      <c r="AW211" s="11" t="n">
        <v>0</v>
      </c>
      <c r="AX211" s="11" t="n">
        <v>0</v>
      </c>
      <c r="AY211" s="11" t="n">
        <v>0</v>
      </c>
      <c r="AZ211" s="11" t="n">
        <v>0</v>
      </c>
      <c r="BA211" s="11" t="n">
        <v>0</v>
      </c>
      <c r="BB211" s="11" t="n">
        <v>0</v>
      </c>
      <c r="BC211" s="11" t="n">
        <v>0</v>
      </c>
      <c r="BD211" s="11" t="n">
        <v>0</v>
      </c>
      <c r="BE211" s="11" t="n">
        <v>0</v>
      </c>
      <c r="BF211" s="11" t="n">
        <v>0</v>
      </c>
      <c r="BG211" s="11" t="n">
        <v>0</v>
      </c>
      <c r="BH211" s="11" t="n">
        <v>200</v>
      </c>
      <c r="BI211" s="11" t="n">
        <v>0</v>
      </c>
      <c r="BJ211" s="11" t="n">
        <v>0</v>
      </c>
      <c r="BK211" s="11" t="n">
        <v>0</v>
      </c>
      <c r="BL211" s="11" t="n">
        <v>0</v>
      </c>
      <c r="BM211" s="11" t="n">
        <v>0</v>
      </c>
      <c r="BN211" s="11" t="n">
        <v>0</v>
      </c>
      <c r="BO211" s="11" t="n">
        <v>0</v>
      </c>
      <c r="BP211" s="11" t="n">
        <v>0</v>
      </c>
      <c r="BQ211" s="11" t="n">
        <v>0</v>
      </c>
      <c r="BR211" s="11" t="n">
        <v>0</v>
      </c>
      <c r="BS211" s="11" t="n">
        <v>0</v>
      </c>
      <c r="BT211" s="11" t="n">
        <v>7</v>
      </c>
      <c r="BU211" s="11" t="n">
        <v>0</v>
      </c>
      <c r="BV211" s="11" t="n">
        <v>0</v>
      </c>
      <c r="BW211" s="11" t="n">
        <v>0</v>
      </c>
      <c r="BX211" s="11" t="n">
        <v>0</v>
      </c>
      <c r="BY211" s="11" t="n">
        <v>80</v>
      </c>
      <c r="BZ211" s="11" t="n">
        <v>20</v>
      </c>
      <c r="CA211" s="11" t="n">
        <v>0</v>
      </c>
      <c r="CB211" s="11" t="n">
        <v>20</v>
      </c>
      <c r="CC211" s="11" t="n">
        <v>0</v>
      </c>
      <c r="CD211" s="11" t="n">
        <v>0</v>
      </c>
      <c r="CE211" s="11" t="n">
        <v>4</v>
      </c>
    </row>
    <row r="212">
      <c r="A212" s="14" t="inlineStr">
        <is>
          <t>2026-04-27</t>
        </is>
      </c>
      <c r="B212" s="8" t="n">
        <v>4</v>
      </c>
      <c r="C212" s="8" t="n">
        <v>0</v>
      </c>
      <c r="D212" s="8" t="n">
        <v>0</v>
      </c>
      <c r="E212" s="8" t="n">
        <v>0</v>
      </c>
      <c r="F212" s="8" t="n">
        <v>0</v>
      </c>
      <c r="G212" s="8" t="n">
        <v>0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0</v>
      </c>
      <c r="M212" s="8" t="n">
        <v>0</v>
      </c>
      <c r="N212" s="8" t="n">
        <v>1</v>
      </c>
      <c r="O212" s="8" t="n">
        <v>0</v>
      </c>
      <c r="P212" s="8" t="n">
        <v>0</v>
      </c>
      <c r="Q212" s="8" t="n">
        <v>0</v>
      </c>
      <c r="R212" s="8" t="n">
        <v>0</v>
      </c>
      <c r="S212" s="8" t="n">
        <v>20</v>
      </c>
      <c r="T212" s="8" t="n">
        <v>0</v>
      </c>
      <c r="U212" s="8" t="n">
        <v>0</v>
      </c>
      <c r="V212" s="8" t="n">
        <v>0</v>
      </c>
      <c r="W212" s="8" t="n">
        <v>0</v>
      </c>
      <c r="X212" s="8" t="n">
        <v>0</v>
      </c>
      <c r="Y212" s="8" t="n">
        <v>0</v>
      </c>
      <c r="Z212" s="8" t="n">
        <v>450</v>
      </c>
      <c r="AA212" s="8" t="n">
        <v>100</v>
      </c>
      <c r="AB212" s="8" t="n">
        <v>40</v>
      </c>
      <c r="AC212" s="8" t="n">
        <v>0</v>
      </c>
      <c r="AD212" s="8" t="n">
        <v>10</v>
      </c>
      <c r="AE212" s="8" t="n">
        <v>0</v>
      </c>
      <c r="AF212" s="8" t="n">
        <v>0</v>
      </c>
      <c r="AG212" s="8" t="n">
        <v>0</v>
      </c>
      <c r="AH212" s="8" t="n">
        <v>0</v>
      </c>
      <c r="AI212" s="8" t="n">
        <v>0</v>
      </c>
      <c r="AJ212" s="8" t="n">
        <v>0</v>
      </c>
      <c r="AK212" s="8" t="n">
        <v>0</v>
      </c>
      <c r="AL212" s="8" t="n">
        <v>0</v>
      </c>
      <c r="AM212" s="8" t="n">
        <v>0</v>
      </c>
      <c r="AN212" s="8" t="n">
        <v>0</v>
      </c>
      <c r="AO212" s="8" t="n">
        <v>0</v>
      </c>
      <c r="AP212" s="8" t="n">
        <v>0</v>
      </c>
      <c r="AQ212" s="8" t="n">
        <v>0</v>
      </c>
      <c r="AR212" s="8" t="n">
        <v>0</v>
      </c>
      <c r="AS212" s="8" t="n">
        <v>0</v>
      </c>
      <c r="AT212" s="8" t="n">
        <v>0</v>
      </c>
      <c r="AU212" s="8" t="n">
        <v>0</v>
      </c>
      <c r="AV212" s="8" t="n">
        <v>0</v>
      </c>
      <c r="AW212" s="8" t="n">
        <v>0</v>
      </c>
      <c r="AX212" s="8" t="n">
        <v>0</v>
      </c>
      <c r="AY212" s="8" t="n">
        <v>0</v>
      </c>
      <c r="AZ212" s="8" t="n">
        <v>0</v>
      </c>
      <c r="BA212" s="8" t="n">
        <v>0</v>
      </c>
      <c r="BB212" s="8" t="n">
        <v>0</v>
      </c>
      <c r="BC212" s="8" t="n">
        <v>0</v>
      </c>
      <c r="BD212" s="8" t="n">
        <v>0</v>
      </c>
      <c r="BE212" s="8" t="n">
        <v>0</v>
      </c>
      <c r="BF212" s="8" t="n">
        <v>0</v>
      </c>
      <c r="BG212" s="8" t="n">
        <v>0</v>
      </c>
      <c r="BH212" s="8" t="n">
        <v>200</v>
      </c>
      <c r="BI212" s="8" t="n">
        <v>0</v>
      </c>
      <c r="BJ212" s="8" t="n">
        <v>0</v>
      </c>
      <c r="BK212" s="8" t="n">
        <v>0</v>
      </c>
      <c r="BL212" s="8" t="n">
        <v>0</v>
      </c>
      <c r="BM212" s="8" t="n">
        <v>0</v>
      </c>
      <c r="BN212" s="8" t="n">
        <v>0</v>
      </c>
      <c r="BO212" s="8" t="n">
        <v>0</v>
      </c>
      <c r="BP212" s="8" t="n">
        <v>0</v>
      </c>
      <c r="BQ212" s="8" t="n">
        <v>0</v>
      </c>
      <c r="BR212" s="8" t="n">
        <v>0</v>
      </c>
      <c r="BS212" s="8" t="n">
        <v>0</v>
      </c>
      <c r="BT212" s="8" t="n">
        <v>7</v>
      </c>
      <c r="BU212" s="8" t="n">
        <v>0</v>
      </c>
      <c r="BV212" s="8" t="n">
        <v>0</v>
      </c>
      <c r="BW212" s="8" t="n">
        <v>0</v>
      </c>
      <c r="BX212" s="8" t="n">
        <v>0</v>
      </c>
      <c r="BY212" s="8" t="n">
        <v>80</v>
      </c>
      <c r="BZ212" s="8" t="n">
        <v>20</v>
      </c>
      <c r="CA212" s="8" t="n">
        <v>0</v>
      </c>
      <c r="CB212" s="8" t="n">
        <v>20</v>
      </c>
      <c r="CC212" s="8" t="n">
        <v>0</v>
      </c>
      <c r="CD212" s="8" t="n">
        <v>0</v>
      </c>
      <c r="CE212" s="8" t="n">
        <v>4</v>
      </c>
    </row>
    <row r="213">
      <c r="A213" s="15" t="inlineStr">
        <is>
          <t>2026-04-28</t>
        </is>
      </c>
      <c r="B213" s="11" t="n">
        <v>4</v>
      </c>
      <c r="C213" s="11" t="n">
        <v>0</v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1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20</v>
      </c>
      <c r="T213" s="11" t="n">
        <v>0</v>
      </c>
      <c r="U213" s="11" t="n">
        <v>0</v>
      </c>
      <c r="V213" s="11" t="n">
        <v>0</v>
      </c>
      <c r="W213" s="11" t="n">
        <v>0</v>
      </c>
      <c r="X213" s="11" t="n">
        <v>0</v>
      </c>
      <c r="Y213" s="11" t="n">
        <v>0</v>
      </c>
      <c r="Z213" s="11" t="n">
        <v>450</v>
      </c>
      <c r="AA213" s="11" t="n">
        <v>100</v>
      </c>
      <c r="AB213" s="11" t="n">
        <v>40</v>
      </c>
      <c r="AC213" s="11" t="n">
        <v>0</v>
      </c>
      <c r="AD213" s="11" t="n">
        <v>10</v>
      </c>
      <c r="AE213" s="11" t="n">
        <v>0</v>
      </c>
      <c r="AF213" s="11" t="n">
        <v>0</v>
      </c>
      <c r="AG213" s="11" t="n">
        <v>0</v>
      </c>
      <c r="AH213" s="11" t="n">
        <v>0</v>
      </c>
      <c r="AI213" s="11" t="n">
        <v>0</v>
      </c>
      <c r="AJ213" s="11" t="n">
        <v>0</v>
      </c>
      <c r="AK213" s="11" t="n">
        <v>0</v>
      </c>
      <c r="AL213" s="11" t="n">
        <v>0</v>
      </c>
      <c r="AM213" s="11" t="n">
        <v>0</v>
      </c>
      <c r="AN213" s="11" t="n">
        <v>0</v>
      </c>
      <c r="AO213" s="11" t="n">
        <v>0</v>
      </c>
      <c r="AP213" s="11" t="n">
        <v>0</v>
      </c>
      <c r="AQ213" s="11" t="n">
        <v>0</v>
      </c>
      <c r="AR213" s="11" t="n">
        <v>0</v>
      </c>
      <c r="AS213" s="11" t="n">
        <v>0</v>
      </c>
      <c r="AT213" s="11" t="n">
        <v>0</v>
      </c>
      <c r="AU213" s="11" t="n">
        <v>0</v>
      </c>
      <c r="AV213" s="11" t="n">
        <v>0</v>
      </c>
      <c r="AW213" s="11" t="n">
        <v>0</v>
      </c>
      <c r="AX213" s="11" t="n">
        <v>0</v>
      </c>
      <c r="AY213" s="11" t="n">
        <v>0</v>
      </c>
      <c r="AZ213" s="11" t="n">
        <v>0</v>
      </c>
      <c r="BA213" s="11" t="n">
        <v>0</v>
      </c>
      <c r="BB213" s="11" t="n">
        <v>0</v>
      </c>
      <c r="BC213" s="11" t="n">
        <v>0</v>
      </c>
      <c r="BD213" s="11" t="n">
        <v>0</v>
      </c>
      <c r="BE213" s="11" t="n">
        <v>0</v>
      </c>
      <c r="BF213" s="11" t="n">
        <v>0</v>
      </c>
      <c r="BG213" s="11" t="n">
        <v>0</v>
      </c>
      <c r="BH213" s="11" t="n">
        <v>200</v>
      </c>
      <c r="BI213" s="11" t="n">
        <v>0</v>
      </c>
      <c r="BJ213" s="11" t="n">
        <v>0</v>
      </c>
      <c r="BK213" s="11" t="n">
        <v>0</v>
      </c>
      <c r="BL213" s="11" t="n">
        <v>0</v>
      </c>
      <c r="BM213" s="11" t="n">
        <v>0</v>
      </c>
      <c r="BN213" s="11" t="n">
        <v>0</v>
      </c>
      <c r="BO213" s="11" t="n">
        <v>0</v>
      </c>
      <c r="BP213" s="11" t="n">
        <v>8</v>
      </c>
      <c r="BQ213" s="11" t="n">
        <v>0</v>
      </c>
      <c r="BR213" s="11" t="n">
        <v>0</v>
      </c>
      <c r="BS213" s="11" t="n">
        <v>0</v>
      </c>
      <c r="BT213" s="11" t="n">
        <v>7</v>
      </c>
      <c r="BU213" s="11" t="n">
        <v>0</v>
      </c>
      <c r="BV213" s="11" t="n">
        <v>0</v>
      </c>
      <c r="BW213" s="11" t="n">
        <v>0</v>
      </c>
      <c r="BX213" s="11" t="n">
        <v>0</v>
      </c>
      <c r="BY213" s="11" t="n">
        <v>80</v>
      </c>
      <c r="BZ213" s="11" t="n">
        <v>20</v>
      </c>
      <c r="CA213" s="11" t="n">
        <v>0</v>
      </c>
      <c r="CB213" s="11" t="n">
        <v>45</v>
      </c>
      <c r="CC213" s="11" t="n">
        <v>0</v>
      </c>
      <c r="CD213" s="11" t="n">
        <v>0</v>
      </c>
      <c r="CE213" s="11" t="n">
        <v>4</v>
      </c>
    </row>
    <row r="214">
      <c r="A214" s="14" t="inlineStr">
        <is>
          <t>2026-04-29</t>
        </is>
      </c>
      <c r="B214" s="8" t="n">
        <v>4</v>
      </c>
      <c r="C214" s="8" t="n">
        <v>0</v>
      </c>
      <c r="D214" s="8" t="n">
        <v>0</v>
      </c>
      <c r="E214" s="8" t="n">
        <v>0</v>
      </c>
      <c r="F214" s="8" t="n">
        <v>0</v>
      </c>
      <c r="G214" s="8" t="n">
        <v>0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0</v>
      </c>
      <c r="M214" s="8" t="n">
        <v>0</v>
      </c>
      <c r="N214" s="8" t="n">
        <v>1</v>
      </c>
      <c r="O214" s="8" t="n">
        <v>0</v>
      </c>
      <c r="P214" s="8" t="n">
        <v>0</v>
      </c>
      <c r="Q214" s="8" t="n">
        <v>0</v>
      </c>
      <c r="R214" s="8" t="n">
        <v>0</v>
      </c>
      <c r="S214" s="8" t="n">
        <v>20</v>
      </c>
      <c r="T214" s="8" t="n">
        <v>0</v>
      </c>
      <c r="U214" s="8" t="n">
        <v>0</v>
      </c>
      <c r="V214" s="8" t="n">
        <v>0</v>
      </c>
      <c r="W214" s="8" t="n">
        <v>0</v>
      </c>
      <c r="X214" s="8" t="n">
        <v>0</v>
      </c>
      <c r="Y214" s="8" t="n">
        <v>0</v>
      </c>
      <c r="Z214" s="8" t="n">
        <v>450</v>
      </c>
      <c r="AA214" s="8" t="n">
        <v>100</v>
      </c>
      <c r="AB214" s="8" t="n">
        <v>40</v>
      </c>
      <c r="AC214" s="8" t="n">
        <v>0</v>
      </c>
      <c r="AD214" s="8" t="n">
        <v>10</v>
      </c>
      <c r="AE214" s="8" t="n">
        <v>0</v>
      </c>
      <c r="AF214" s="8" t="n">
        <v>0</v>
      </c>
      <c r="AG214" s="8" t="n">
        <v>0</v>
      </c>
      <c r="AH214" s="8" t="n">
        <v>0</v>
      </c>
      <c r="AI214" s="8" t="n">
        <v>0</v>
      </c>
      <c r="AJ214" s="8" t="n">
        <v>0</v>
      </c>
      <c r="AK214" s="8" t="n">
        <v>0</v>
      </c>
      <c r="AL214" s="8" t="n">
        <v>0</v>
      </c>
      <c r="AM214" s="8" t="n">
        <v>0</v>
      </c>
      <c r="AN214" s="8" t="n">
        <v>0</v>
      </c>
      <c r="AO214" s="8" t="n">
        <v>0</v>
      </c>
      <c r="AP214" s="8" t="n">
        <v>0</v>
      </c>
      <c r="AQ214" s="8" t="n">
        <v>0</v>
      </c>
      <c r="AR214" s="8" t="n">
        <v>0</v>
      </c>
      <c r="AS214" s="8" t="n">
        <v>0</v>
      </c>
      <c r="AT214" s="8" t="n">
        <v>0</v>
      </c>
      <c r="AU214" s="8" t="n">
        <v>0</v>
      </c>
      <c r="AV214" s="8" t="n">
        <v>0</v>
      </c>
      <c r="AW214" s="8" t="n">
        <v>0</v>
      </c>
      <c r="AX214" s="8" t="n">
        <v>0</v>
      </c>
      <c r="AY214" s="8" t="n">
        <v>0</v>
      </c>
      <c r="AZ214" s="8" t="n">
        <v>0</v>
      </c>
      <c r="BA214" s="8" t="n">
        <v>0</v>
      </c>
      <c r="BB214" s="8" t="n">
        <v>0</v>
      </c>
      <c r="BC214" s="8" t="n">
        <v>0</v>
      </c>
      <c r="BD214" s="8" t="n">
        <v>0</v>
      </c>
      <c r="BE214" s="8" t="n">
        <v>0</v>
      </c>
      <c r="BF214" s="8" t="n">
        <v>0</v>
      </c>
      <c r="BG214" s="8" t="n">
        <v>0</v>
      </c>
      <c r="BH214" s="8" t="n">
        <v>200</v>
      </c>
      <c r="BI214" s="8" t="n">
        <v>0</v>
      </c>
      <c r="BJ214" s="8" t="n">
        <v>0</v>
      </c>
      <c r="BK214" s="8" t="n">
        <v>0</v>
      </c>
      <c r="BL214" s="8" t="n">
        <v>0</v>
      </c>
      <c r="BM214" s="8" t="n">
        <v>0</v>
      </c>
      <c r="BN214" s="8" t="n">
        <v>0</v>
      </c>
      <c r="BO214" s="8" t="n">
        <v>0</v>
      </c>
      <c r="BP214" s="8" t="n">
        <v>8</v>
      </c>
      <c r="BQ214" s="8" t="n">
        <v>0</v>
      </c>
      <c r="BR214" s="8" t="n">
        <v>0</v>
      </c>
      <c r="BS214" s="8" t="n">
        <v>0</v>
      </c>
      <c r="BT214" s="8" t="n">
        <v>7</v>
      </c>
      <c r="BU214" s="8" t="n">
        <v>0</v>
      </c>
      <c r="BV214" s="8" t="n">
        <v>0</v>
      </c>
      <c r="BW214" s="8" t="n">
        <v>0</v>
      </c>
      <c r="BX214" s="8" t="n">
        <v>0</v>
      </c>
      <c r="BY214" s="8" t="n">
        <v>80</v>
      </c>
      <c r="BZ214" s="8" t="n">
        <v>20</v>
      </c>
      <c r="CA214" s="8" t="n">
        <v>0</v>
      </c>
      <c r="CB214" s="8" t="n">
        <v>35</v>
      </c>
      <c r="CC214" s="8" t="n">
        <v>0</v>
      </c>
      <c r="CD214" s="8" t="n">
        <v>0</v>
      </c>
      <c r="CE214" s="8" t="n">
        <v>4</v>
      </c>
    </row>
    <row r="215">
      <c r="A215" s="15" t="inlineStr">
        <is>
          <t>2026-04-30</t>
        </is>
      </c>
      <c r="B215" s="11" t="n">
        <v>4</v>
      </c>
      <c r="C215" s="11" t="n">
        <v>0</v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1</v>
      </c>
      <c r="O215" s="11" t="n">
        <v>0</v>
      </c>
      <c r="P215" s="11" t="n">
        <v>0</v>
      </c>
      <c r="Q215" s="11" t="n">
        <v>0</v>
      </c>
      <c r="R215" s="11" t="n">
        <v>0</v>
      </c>
      <c r="S215" s="11" t="n">
        <v>20</v>
      </c>
      <c r="T215" s="11" t="n">
        <v>0</v>
      </c>
      <c r="U215" s="11" t="n">
        <v>0</v>
      </c>
      <c r="V215" s="11" t="n">
        <v>0</v>
      </c>
      <c r="W215" s="11" t="n">
        <v>0</v>
      </c>
      <c r="X215" s="11" t="n">
        <v>0</v>
      </c>
      <c r="Y215" s="11" t="n">
        <v>0</v>
      </c>
      <c r="Z215" s="11" t="n">
        <v>450</v>
      </c>
      <c r="AA215" s="11" t="n">
        <v>100</v>
      </c>
      <c r="AB215" s="11" t="n">
        <v>40</v>
      </c>
      <c r="AC215" s="11" t="n">
        <v>0</v>
      </c>
      <c r="AD215" s="11" t="n">
        <v>10</v>
      </c>
      <c r="AE215" s="11" t="n">
        <v>0</v>
      </c>
      <c r="AF215" s="11" t="n">
        <v>0</v>
      </c>
      <c r="AG215" s="11" t="n">
        <v>0</v>
      </c>
      <c r="AH215" s="11" t="n">
        <v>0</v>
      </c>
      <c r="AI215" s="11" t="n">
        <v>0</v>
      </c>
      <c r="AJ215" s="11" t="n">
        <v>0</v>
      </c>
      <c r="AK215" s="11" t="n">
        <v>0</v>
      </c>
      <c r="AL215" s="11" t="n">
        <v>0</v>
      </c>
      <c r="AM215" s="11" t="n">
        <v>0</v>
      </c>
      <c r="AN215" s="11" t="n">
        <v>0</v>
      </c>
      <c r="AO215" s="11" t="n">
        <v>0</v>
      </c>
      <c r="AP215" s="11" t="n">
        <v>0</v>
      </c>
      <c r="AQ215" s="11" t="n">
        <v>0</v>
      </c>
      <c r="AR215" s="11" t="n">
        <v>0</v>
      </c>
      <c r="AS215" s="11" t="n">
        <v>0</v>
      </c>
      <c r="AT215" s="11" t="n">
        <v>0</v>
      </c>
      <c r="AU215" s="11" t="n">
        <v>0</v>
      </c>
      <c r="AV215" s="11" t="n">
        <v>0</v>
      </c>
      <c r="AW215" s="11" t="n">
        <v>0</v>
      </c>
      <c r="AX215" s="11" t="n">
        <v>0</v>
      </c>
      <c r="AY215" s="11" t="n">
        <v>0</v>
      </c>
      <c r="AZ215" s="11" t="n">
        <v>0</v>
      </c>
      <c r="BA215" s="11" t="n">
        <v>0</v>
      </c>
      <c r="BB215" s="11" t="n">
        <v>0</v>
      </c>
      <c r="BC215" s="11" t="n">
        <v>0</v>
      </c>
      <c r="BD215" s="11" t="n">
        <v>0</v>
      </c>
      <c r="BE215" s="11" t="n">
        <v>0</v>
      </c>
      <c r="BF215" s="11" t="n">
        <v>0</v>
      </c>
      <c r="BG215" s="11" t="n">
        <v>0</v>
      </c>
      <c r="BH215" s="11" t="n">
        <v>200</v>
      </c>
      <c r="BI215" s="11" t="n">
        <v>0</v>
      </c>
      <c r="BJ215" s="11" t="n">
        <v>0</v>
      </c>
      <c r="BK215" s="11" t="n">
        <v>0</v>
      </c>
      <c r="BL215" s="11" t="n">
        <v>0</v>
      </c>
      <c r="BM215" s="11" t="n">
        <v>0</v>
      </c>
      <c r="BN215" s="11" t="n">
        <v>0</v>
      </c>
      <c r="BO215" s="11" t="n">
        <v>0</v>
      </c>
      <c r="BP215" s="11" t="n">
        <v>8</v>
      </c>
      <c r="BQ215" s="11" t="n">
        <v>0</v>
      </c>
      <c r="BR215" s="11" t="n">
        <v>0</v>
      </c>
      <c r="BS215" s="11" t="n">
        <v>0</v>
      </c>
      <c r="BT215" s="11" t="n">
        <v>7</v>
      </c>
      <c r="BU215" s="11" t="n">
        <v>0</v>
      </c>
      <c r="BV215" s="11" t="n">
        <v>0</v>
      </c>
      <c r="BW215" s="11" t="n">
        <v>0</v>
      </c>
      <c r="BX215" s="11" t="n">
        <v>0</v>
      </c>
      <c r="BY215" s="11" t="n">
        <v>80</v>
      </c>
      <c r="BZ215" s="11" t="n">
        <v>20</v>
      </c>
      <c r="CA215" s="11" t="n">
        <v>0</v>
      </c>
      <c r="CB215" s="11" t="n">
        <v>35</v>
      </c>
      <c r="CC215" s="11" t="n">
        <v>0</v>
      </c>
      <c r="CD215" s="11" t="n">
        <v>0</v>
      </c>
      <c r="CE215" s="11" t="n">
        <v>0</v>
      </c>
    </row>
    <row r="216">
      <c r="A216" s="14" t="inlineStr">
        <is>
          <t>2026-05-01</t>
        </is>
      </c>
      <c r="B216" s="8" t="n">
        <v>4</v>
      </c>
      <c r="C216" s="8" t="n">
        <v>0</v>
      </c>
      <c r="D216" s="8" t="n">
        <v>0</v>
      </c>
      <c r="E216" s="8" t="n">
        <v>0</v>
      </c>
      <c r="F216" s="8" t="n">
        <v>0</v>
      </c>
      <c r="G216" s="8" t="n">
        <v>0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0</v>
      </c>
      <c r="M216" s="8" t="n">
        <v>0</v>
      </c>
      <c r="N216" s="8" t="n">
        <v>1</v>
      </c>
      <c r="O216" s="8" t="n">
        <v>0</v>
      </c>
      <c r="P216" s="8" t="n">
        <v>0</v>
      </c>
      <c r="Q216" s="8" t="n">
        <v>0</v>
      </c>
      <c r="R216" s="8" t="n">
        <v>0</v>
      </c>
      <c r="S216" s="8" t="n">
        <v>20</v>
      </c>
      <c r="T216" s="8" t="n">
        <v>0</v>
      </c>
      <c r="U216" s="8" t="n">
        <v>0</v>
      </c>
      <c r="V216" s="8" t="n">
        <v>0</v>
      </c>
      <c r="W216" s="8" t="n">
        <v>0</v>
      </c>
      <c r="X216" s="8" t="n">
        <v>0</v>
      </c>
      <c r="Y216" s="8" t="n">
        <v>0</v>
      </c>
      <c r="Z216" s="8" t="n">
        <v>450</v>
      </c>
      <c r="AA216" s="8" t="n">
        <v>100</v>
      </c>
      <c r="AB216" s="8" t="n">
        <v>40</v>
      </c>
      <c r="AC216" s="8" t="n">
        <v>0</v>
      </c>
      <c r="AD216" s="8" t="n">
        <v>10</v>
      </c>
      <c r="AE216" s="8" t="n">
        <v>0</v>
      </c>
      <c r="AF216" s="8" t="n">
        <v>0</v>
      </c>
      <c r="AG216" s="8" t="n">
        <v>0</v>
      </c>
      <c r="AH216" s="8" t="n">
        <v>0</v>
      </c>
      <c r="AI216" s="8" t="n">
        <v>0</v>
      </c>
      <c r="AJ216" s="8" t="n">
        <v>0</v>
      </c>
      <c r="AK216" s="8" t="n">
        <v>0</v>
      </c>
      <c r="AL216" s="8" t="n">
        <v>0</v>
      </c>
      <c r="AM216" s="8" t="n">
        <v>0</v>
      </c>
      <c r="AN216" s="8" t="n">
        <v>0</v>
      </c>
      <c r="AO216" s="8" t="n">
        <v>0</v>
      </c>
      <c r="AP216" s="8" t="n">
        <v>0</v>
      </c>
      <c r="AQ216" s="8" t="n">
        <v>0</v>
      </c>
      <c r="AR216" s="8" t="n">
        <v>0</v>
      </c>
      <c r="AS216" s="8" t="n">
        <v>0</v>
      </c>
      <c r="AT216" s="8" t="n">
        <v>0</v>
      </c>
      <c r="AU216" s="8" t="n">
        <v>0</v>
      </c>
      <c r="AV216" s="8" t="n">
        <v>0</v>
      </c>
      <c r="AW216" s="8" t="n">
        <v>0</v>
      </c>
      <c r="AX216" s="8" t="n">
        <v>0</v>
      </c>
      <c r="AY216" s="8" t="n">
        <v>0</v>
      </c>
      <c r="AZ216" s="8" t="n">
        <v>0</v>
      </c>
      <c r="BA216" s="8" t="n">
        <v>0</v>
      </c>
      <c r="BB216" s="8" t="n">
        <v>0</v>
      </c>
      <c r="BC216" s="8" t="n">
        <v>0</v>
      </c>
      <c r="BD216" s="8" t="n">
        <v>0</v>
      </c>
      <c r="BE216" s="8" t="n">
        <v>0</v>
      </c>
      <c r="BF216" s="8" t="n">
        <v>0</v>
      </c>
      <c r="BG216" s="8" t="n">
        <v>0</v>
      </c>
      <c r="BH216" s="8" t="n">
        <v>200</v>
      </c>
      <c r="BI216" s="8" t="n">
        <v>0</v>
      </c>
      <c r="BJ216" s="8" t="n">
        <v>0</v>
      </c>
      <c r="BK216" s="8" t="n">
        <v>0</v>
      </c>
      <c r="BL216" s="8" t="n">
        <v>0</v>
      </c>
      <c r="BM216" s="8" t="n">
        <v>0</v>
      </c>
      <c r="BN216" s="8" t="n">
        <v>0</v>
      </c>
      <c r="BO216" s="8" t="n">
        <v>0</v>
      </c>
      <c r="BP216" s="8" t="n">
        <v>4</v>
      </c>
      <c r="BQ216" s="8" t="n">
        <v>0</v>
      </c>
      <c r="BR216" s="8" t="n">
        <v>0</v>
      </c>
      <c r="BS216" s="8" t="n">
        <v>0</v>
      </c>
      <c r="BT216" s="8" t="n">
        <v>7</v>
      </c>
      <c r="BU216" s="8" t="n">
        <v>0</v>
      </c>
      <c r="BV216" s="8" t="n">
        <v>0</v>
      </c>
      <c r="BW216" s="8" t="n">
        <v>0</v>
      </c>
      <c r="BX216" s="8" t="n">
        <v>0</v>
      </c>
      <c r="BY216" s="8" t="n">
        <v>80</v>
      </c>
      <c r="BZ216" s="8" t="n">
        <v>20</v>
      </c>
      <c r="CA216" s="8" t="n">
        <v>0</v>
      </c>
      <c r="CB216" s="8" t="n">
        <v>35</v>
      </c>
      <c r="CC216" s="8" t="n">
        <v>0</v>
      </c>
      <c r="CD216" s="8" t="n">
        <v>0</v>
      </c>
      <c r="CE216" s="8" t="n">
        <v>0</v>
      </c>
    </row>
    <row r="217">
      <c r="A217" s="15" t="inlineStr">
        <is>
          <t>2026-05-04</t>
        </is>
      </c>
      <c r="B217" s="11" t="n">
        <v>4</v>
      </c>
      <c r="C217" s="11" t="n">
        <v>0</v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1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20</v>
      </c>
      <c r="T217" s="11" t="n">
        <v>0</v>
      </c>
      <c r="U217" s="11" t="n">
        <v>0</v>
      </c>
      <c r="V217" s="11" t="n">
        <v>0</v>
      </c>
      <c r="W217" s="11" t="n">
        <v>0</v>
      </c>
      <c r="X217" s="11" t="n">
        <v>0</v>
      </c>
      <c r="Y217" s="11" t="n">
        <v>0</v>
      </c>
      <c r="Z217" s="11" t="n">
        <v>450</v>
      </c>
      <c r="AA217" s="11" t="n">
        <v>100</v>
      </c>
      <c r="AB217" s="11" t="n">
        <v>40</v>
      </c>
      <c r="AC217" s="11" t="n">
        <v>0</v>
      </c>
      <c r="AD217" s="11" t="n">
        <v>10</v>
      </c>
      <c r="AE217" s="11" t="n">
        <v>0</v>
      </c>
      <c r="AF217" s="11" t="n">
        <v>0</v>
      </c>
      <c r="AG217" s="11" t="n">
        <v>0</v>
      </c>
      <c r="AH217" s="11" t="n">
        <v>0</v>
      </c>
      <c r="AI217" s="11" t="n">
        <v>0</v>
      </c>
      <c r="AJ217" s="11" t="n">
        <v>0</v>
      </c>
      <c r="AK217" s="11" t="n">
        <v>0</v>
      </c>
      <c r="AL217" s="11" t="n">
        <v>0</v>
      </c>
      <c r="AM217" s="11" t="n">
        <v>0</v>
      </c>
      <c r="AN217" s="11" t="n">
        <v>0</v>
      </c>
      <c r="AO217" s="11" t="n">
        <v>0</v>
      </c>
      <c r="AP217" s="11" t="n">
        <v>0</v>
      </c>
      <c r="AQ217" s="11" t="n">
        <v>0</v>
      </c>
      <c r="AR217" s="11" t="n">
        <v>0</v>
      </c>
      <c r="AS217" s="11" t="n">
        <v>0</v>
      </c>
      <c r="AT217" s="11" t="n">
        <v>0</v>
      </c>
      <c r="AU217" s="11" t="n">
        <v>0</v>
      </c>
      <c r="AV217" s="11" t="n">
        <v>0</v>
      </c>
      <c r="AW217" s="11" t="n">
        <v>0</v>
      </c>
      <c r="AX217" s="11" t="n">
        <v>0</v>
      </c>
      <c r="AY217" s="11" t="n">
        <v>0</v>
      </c>
      <c r="AZ217" s="11" t="n">
        <v>0</v>
      </c>
      <c r="BA217" s="11" t="n">
        <v>0</v>
      </c>
      <c r="BB217" s="11" t="n">
        <v>0</v>
      </c>
      <c r="BC217" s="11" t="n">
        <v>0</v>
      </c>
      <c r="BD217" s="11" t="n">
        <v>0</v>
      </c>
      <c r="BE217" s="11" t="n">
        <v>0</v>
      </c>
      <c r="BF217" s="11" t="n">
        <v>0</v>
      </c>
      <c r="BG217" s="11" t="n">
        <v>0</v>
      </c>
      <c r="BH217" s="11" t="n">
        <v>200</v>
      </c>
      <c r="BI217" s="11" t="n">
        <v>0</v>
      </c>
      <c r="BJ217" s="11" t="n">
        <v>0</v>
      </c>
      <c r="BK217" s="11" t="n">
        <v>0</v>
      </c>
      <c r="BL217" s="11" t="n">
        <v>0</v>
      </c>
      <c r="BM217" s="11" t="n">
        <v>0</v>
      </c>
      <c r="BN217" s="11" t="n">
        <v>0</v>
      </c>
      <c r="BO217" s="11" t="n">
        <v>0</v>
      </c>
      <c r="BP217" s="11" t="n">
        <v>4</v>
      </c>
      <c r="BQ217" s="11" t="n">
        <v>0</v>
      </c>
      <c r="BR217" s="11" t="n">
        <v>0</v>
      </c>
      <c r="BS217" s="11" t="n">
        <v>0</v>
      </c>
      <c r="BT217" s="11" t="n">
        <v>7</v>
      </c>
      <c r="BU217" s="11" t="n">
        <v>0</v>
      </c>
      <c r="BV217" s="11" t="n">
        <v>0</v>
      </c>
      <c r="BW217" s="11" t="n">
        <v>0</v>
      </c>
      <c r="BX217" s="11" t="n">
        <v>0</v>
      </c>
      <c r="BY217" s="11" t="n">
        <v>80</v>
      </c>
      <c r="BZ217" s="11" t="n">
        <v>20</v>
      </c>
      <c r="CA217" s="11" t="n">
        <v>0</v>
      </c>
      <c r="CB217" s="11" t="n">
        <v>35</v>
      </c>
      <c r="CC217" s="11" t="n">
        <v>0</v>
      </c>
      <c r="CD217" s="11" t="n">
        <v>0</v>
      </c>
      <c r="CE217" s="11" t="n">
        <v>0</v>
      </c>
    </row>
    <row r="218">
      <c r="A218" s="14" t="inlineStr">
        <is>
          <t>2026-05-05</t>
        </is>
      </c>
      <c r="B218" s="8" t="n">
        <v>4</v>
      </c>
      <c r="C218" s="8" t="n">
        <v>0</v>
      </c>
      <c r="D218" s="8" t="n">
        <v>0</v>
      </c>
      <c r="E218" s="8" t="n">
        <v>0</v>
      </c>
      <c r="F218" s="8" t="n">
        <v>0</v>
      </c>
      <c r="G218" s="8" t="n">
        <v>0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0</v>
      </c>
      <c r="M218" s="8" t="n">
        <v>0</v>
      </c>
      <c r="N218" s="8" t="n">
        <v>1</v>
      </c>
      <c r="O218" s="8" t="n">
        <v>0</v>
      </c>
      <c r="P218" s="8" t="n">
        <v>0</v>
      </c>
      <c r="Q218" s="8" t="n">
        <v>0</v>
      </c>
      <c r="R218" s="8" t="n">
        <v>0</v>
      </c>
      <c r="S218" s="8" t="n">
        <v>20</v>
      </c>
      <c r="T218" s="8" t="n">
        <v>0</v>
      </c>
      <c r="U218" s="8" t="n">
        <v>0</v>
      </c>
      <c r="V218" s="8" t="n">
        <v>0</v>
      </c>
      <c r="W218" s="8" t="n">
        <v>0</v>
      </c>
      <c r="X218" s="8" t="n">
        <v>0</v>
      </c>
      <c r="Y218" s="8" t="n">
        <v>0</v>
      </c>
      <c r="Z218" s="8" t="n">
        <v>450</v>
      </c>
      <c r="AA218" s="8" t="n">
        <v>100</v>
      </c>
      <c r="AB218" s="8" t="n">
        <v>40</v>
      </c>
      <c r="AC218" s="8" t="n">
        <v>0</v>
      </c>
      <c r="AD218" s="8" t="n">
        <v>10</v>
      </c>
      <c r="AE218" s="8" t="n">
        <v>0</v>
      </c>
      <c r="AF218" s="8" t="n">
        <v>0</v>
      </c>
      <c r="AG218" s="8" t="n">
        <v>0</v>
      </c>
      <c r="AH218" s="8" t="n">
        <v>0</v>
      </c>
      <c r="AI218" s="8" t="n">
        <v>0</v>
      </c>
      <c r="AJ218" s="8" t="n">
        <v>0</v>
      </c>
      <c r="AK218" s="8" t="n">
        <v>0</v>
      </c>
      <c r="AL218" s="8" t="n">
        <v>0</v>
      </c>
      <c r="AM218" s="8" t="n">
        <v>0</v>
      </c>
      <c r="AN218" s="8" t="n">
        <v>0</v>
      </c>
      <c r="AO218" s="8" t="n">
        <v>0</v>
      </c>
      <c r="AP218" s="8" t="n">
        <v>0</v>
      </c>
      <c r="AQ218" s="8" t="n">
        <v>0</v>
      </c>
      <c r="AR218" s="8" t="n">
        <v>0</v>
      </c>
      <c r="AS218" s="8" t="n">
        <v>0</v>
      </c>
      <c r="AT218" s="8" t="n">
        <v>0</v>
      </c>
      <c r="AU218" s="8" t="n">
        <v>0</v>
      </c>
      <c r="AV218" s="8" t="n">
        <v>0</v>
      </c>
      <c r="AW218" s="8" t="n">
        <v>0</v>
      </c>
      <c r="AX218" s="8" t="n">
        <v>0</v>
      </c>
      <c r="AY218" s="8" t="n">
        <v>0</v>
      </c>
      <c r="AZ218" s="8" t="n">
        <v>0</v>
      </c>
      <c r="BA218" s="8" t="n">
        <v>0</v>
      </c>
      <c r="BB218" s="8" t="n">
        <v>0</v>
      </c>
      <c r="BC218" s="8" t="n">
        <v>0</v>
      </c>
      <c r="BD218" s="8" t="n">
        <v>0</v>
      </c>
      <c r="BE218" s="8" t="n">
        <v>0</v>
      </c>
      <c r="BF218" s="8" t="n">
        <v>0</v>
      </c>
      <c r="BG218" s="8" t="n">
        <v>0</v>
      </c>
      <c r="BH218" s="8" t="n">
        <v>200</v>
      </c>
      <c r="BI218" s="8" t="n">
        <v>0</v>
      </c>
      <c r="BJ218" s="8" t="n">
        <v>0</v>
      </c>
      <c r="BK218" s="8" t="n">
        <v>0</v>
      </c>
      <c r="BL218" s="8" t="n">
        <v>0</v>
      </c>
      <c r="BM218" s="8" t="n">
        <v>0</v>
      </c>
      <c r="BN218" s="8" t="n">
        <v>0</v>
      </c>
      <c r="BO218" s="8" t="n">
        <v>0</v>
      </c>
      <c r="BP218" s="8" t="n">
        <v>4</v>
      </c>
      <c r="BQ218" s="8" t="n">
        <v>0</v>
      </c>
      <c r="BR218" s="8" t="n">
        <v>0</v>
      </c>
      <c r="BS218" s="8" t="n">
        <v>0</v>
      </c>
      <c r="BT218" s="8" t="n">
        <v>7</v>
      </c>
      <c r="BU218" s="8" t="n">
        <v>0</v>
      </c>
      <c r="BV218" s="8" t="n">
        <v>0</v>
      </c>
      <c r="BW218" s="8" t="n">
        <v>0</v>
      </c>
      <c r="BX218" s="8" t="n">
        <v>0</v>
      </c>
      <c r="BY218" s="8" t="n">
        <v>80</v>
      </c>
      <c r="BZ218" s="8" t="n">
        <v>20</v>
      </c>
      <c r="CA218" s="8" t="n">
        <v>0</v>
      </c>
      <c r="CB218" s="8" t="n">
        <v>35</v>
      </c>
      <c r="CC218" s="8" t="n">
        <v>0</v>
      </c>
      <c r="CD218" s="8" t="n">
        <v>0</v>
      </c>
      <c r="CE218" s="8" t="n">
        <v>0</v>
      </c>
    </row>
    <row r="219">
      <c r="A219" s="15" t="inlineStr">
        <is>
          <t>2026-05-06</t>
        </is>
      </c>
      <c r="B219" s="11" t="n">
        <v>0</v>
      </c>
      <c r="C219" s="11" t="n">
        <v>0</v>
      </c>
      <c r="D219" s="11" t="n">
        <v>0</v>
      </c>
      <c r="E219" s="11" t="n">
        <v>0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1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20</v>
      </c>
      <c r="T219" s="11" t="n">
        <v>0</v>
      </c>
      <c r="U219" s="11" t="n">
        <v>0</v>
      </c>
      <c r="V219" s="11" t="n">
        <v>0</v>
      </c>
      <c r="W219" s="11" t="n">
        <v>0</v>
      </c>
      <c r="X219" s="11" t="n">
        <v>0</v>
      </c>
      <c r="Y219" s="11" t="n">
        <v>0</v>
      </c>
      <c r="Z219" s="11" t="n">
        <v>450</v>
      </c>
      <c r="AA219" s="11" t="n">
        <v>100</v>
      </c>
      <c r="AB219" s="11" t="n">
        <v>40</v>
      </c>
      <c r="AC219" s="11" t="n">
        <v>0</v>
      </c>
      <c r="AD219" s="11" t="n">
        <v>10</v>
      </c>
      <c r="AE219" s="11" t="n">
        <v>0</v>
      </c>
      <c r="AF219" s="11" t="n">
        <v>0</v>
      </c>
      <c r="AG219" s="11" t="n">
        <v>0</v>
      </c>
      <c r="AH219" s="11" t="n">
        <v>0</v>
      </c>
      <c r="AI219" s="11" t="n">
        <v>0</v>
      </c>
      <c r="AJ219" s="11" t="n">
        <v>0</v>
      </c>
      <c r="AK219" s="11" t="n">
        <v>0</v>
      </c>
      <c r="AL219" s="11" t="n">
        <v>0</v>
      </c>
      <c r="AM219" s="11" t="n">
        <v>0</v>
      </c>
      <c r="AN219" s="11" t="n">
        <v>0</v>
      </c>
      <c r="AO219" s="11" t="n">
        <v>0</v>
      </c>
      <c r="AP219" s="11" t="n">
        <v>0</v>
      </c>
      <c r="AQ219" s="11" t="n">
        <v>0</v>
      </c>
      <c r="AR219" s="11" t="n">
        <v>0</v>
      </c>
      <c r="AS219" s="11" t="n">
        <v>0</v>
      </c>
      <c r="AT219" s="11" t="n">
        <v>0</v>
      </c>
      <c r="AU219" s="11" t="n">
        <v>0</v>
      </c>
      <c r="AV219" s="11" t="n">
        <v>0</v>
      </c>
      <c r="AW219" s="11" t="n">
        <v>0</v>
      </c>
      <c r="AX219" s="11" t="n">
        <v>0</v>
      </c>
      <c r="AY219" s="11" t="n">
        <v>0</v>
      </c>
      <c r="AZ219" s="11" t="n">
        <v>0</v>
      </c>
      <c r="BA219" s="11" t="n">
        <v>0</v>
      </c>
      <c r="BB219" s="11" t="n">
        <v>0</v>
      </c>
      <c r="BC219" s="11" t="n">
        <v>0</v>
      </c>
      <c r="BD219" s="11" t="n">
        <v>0</v>
      </c>
      <c r="BE219" s="11" t="n">
        <v>0</v>
      </c>
      <c r="BF219" s="11" t="n">
        <v>0</v>
      </c>
      <c r="BG219" s="11" t="n">
        <v>0</v>
      </c>
      <c r="BH219" s="11" t="n">
        <v>200</v>
      </c>
      <c r="BI219" s="11" t="n">
        <v>0</v>
      </c>
      <c r="BJ219" s="11" t="n">
        <v>0</v>
      </c>
      <c r="BK219" s="11" t="n">
        <v>0</v>
      </c>
      <c r="BL219" s="11" t="n">
        <v>0</v>
      </c>
      <c r="BM219" s="11" t="n">
        <v>0</v>
      </c>
      <c r="BN219" s="11" t="n">
        <v>0</v>
      </c>
      <c r="BO219" s="11" t="n">
        <v>0</v>
      </c>
      <c r="BP219" s="11" t="n">
        <v>4</v>
      </c>
      <c r="BQ219" s="11" t="n">
        <v>0</v>
      </c>
      <c r="BR219" s="11" t="n">
        <v>0</v>
      </c>
      <c r="BS219" s="11" t="n">
        <v>0</v>
      </c>
      <c r="BT219" s="11" t="n">
        <v>7</v>
      </c>
      <c r="BU219" s="11" t="n">
        <v>0</v>
      </c>
      <c r="BV219" s="11" t="n">
        <v>0</v>
      </c>
      <c r="BW219" s="11" t="n">
        <v>0</v>
      </c>
      <c r="BX219" s="11" t="n">
        <v>0</v>
      </c>
      <c r="BY219" s="11" t="n">
        <v>80</v>
      </c>
      <c r="BZ219" s="11" t="n">
        <v>20</v>
      </c>
      <c r="CA219" s="11" t="n">
        <v>0</v>
      </c>
      <c r="CB219" s="11" t="n">
        <v>35</v>
      </c>
      <c r="CC219" s="11" t="n">
        <v>0</v>
      </c>
      <c r="CD219" s="11" t="n">
        <v>0</v>
      </c>
      <c r="CE219" s="11" t="n">
        <v>0</v>
      </c>
    </row>
    <row r="220">
      <c r="A220" s="14" t="inlineStr">
        <is>
          <t>2026-05-07</t>
        </is>
      </c>
      <c r="B220" s="8" t="n">
        <v>0</v>
      </c>
      <c r="C220" s="8" t="n">
        <v>0</v>
      </c>
      <c r="D220" s="8" t="n">
        <v>0</v>
      </c>
      <c r="E220" s="8" t="n">
        <v>0</v>
      </c>
      <c r="F220" s="8" t="n">
        <v>0</v>
      </c>
      <c r="G220" s="8" t="n">
        <v>0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0</v>
      </c>
      <c r="M220" s="8" t="n">
        <v>0</v>
      </c>
      <c r="N220" s="8" t="n">
        <v>1</v>
      </c>
      <c r="O220" s="8" t="n">
        <v>0</v>
      </c>
      <c r="P220" s="8" t="n">
        <v>0</v>
      </c>
      <c r="Q220" s="8" t="n">
        <v>0</v>
      </c>
      <c r="R220" s="8" t="n">
        <v>0</v>
      </c>
      <c r="S220" s="8" t="n">
        <v>20</v>
      </c>
      <c r="T220" s="8" t="n">
        <v>0</v>
      </c>
      <c r="U220" s="8" t="n">
        <v>0</v>
      </c>
      <c r="V220" s="8" t="n">
        <v>0</v>
      </c>
      <c r="W220" s="8" t="n">
        <v>0</v>
      </c>
      <c r="X220" s="8" t="n">
        <v>0</v>
      </c>
      <c r="Y220" s="8" t="n">
        <v>0</v>
      </c>
      <c r="Z220" s="8" t="n">
        <v>450</v>
      </c>
      <c r="AA220" s="8" t="n">
        <v>100</v>
      </c>
      <c r="AB220" s="8" t="n">
        <v>40</v>
      </c>
      <c r="AC220" s="8" t="n">
        <v>0</v>
      </c>
      <c r="AD220" s="8" t="n">
        <v>10</v>
      </c>
      <c r="AE220" s="8" t="n">
        <v>0</v>
      </c>
      <c r="AF220" s="8" t="n">
        <v>0</v>
      </c>
      <c r="AG220" s="8" t="n">
        <v>0</v>
      </c>
      <c r="AH220" s="8" t="n">
        <v>0</v>
      </c>
      <c r="AI220" s="8" t="n">
        <v>0</v>
      </c>
      <c r="AJ220" s="8" t="n">
        <v>0</v>
      </c>
      <c r="AK220" s="8" t="n">
        <v>0</v>
      </c>
      <c r="AL220" s="8" t="n">
        <v>0</v>
      </c>
      <c r="AM220" s="8" t="n">
        <v>0</v>
      </c>
      <c r="AN220" s="8" t="n">
        <v>0</v>
      </c>
      <c r="AO220" s="8" t="n">
        <v>0</v>
      </c>
      <c r="AP220" s="8" t="n">
        <v>0</v>
      </c>
      <c r="AQ220" s="8" t="n">
        <v>0</v>
      </c>
      <c r="AR220" s="8" t="n">
        <v>0</v>
      </c>
      <c r="AS220" s="8" t="n">
        <v>0</v>
      </c>
      <c r="AT220" s="8" t="n">
        <v>0</v>
      </c>
      <c r="AU220" s="8" t="n">
        <v>0</v>
      </c>
      <c r="AV220" s="8" t="n">
        <v>0</v>
      </c>
      <c r="AW220" s="8" t="n">
        <v>0</v>
      </c>
      <c r="AX220" s="8" t="n">
        <v>0</v>
      </c>
      <c r="AY220" s="8" t="n">
        <v>0</v>
      </c>
      <c r="AZ220" s="8" t="n">
        <v>0</v>
      </c>
      <c r="BA220" s="8" t="n">
        <v>0</v>
      </c>
      <c r="BB220" s="8" t="n">
        <v>0</v>
      </c>
      <c r="BC220" s="8" t="n">
        <v>0</v>
      </c>
      <c r="BD220" s="8" t="n">
        <v>0</v>
      </c>
      <c r="BE220" s="8" t="n">
        <v>0</v>
      </c>
      <c r="BF220" s="8" t="n">
        <v>0</v>
      </c>
      <c r="BG220" s="8" t="n">
        <v>0</v>
      </c>
      <c r="BH220" s="8" t="n">
        <v>200</v>
      </c>
      <c r="BI220" s="8" t="n">
        <v>0</v>
      </c>
      <c r="BJ220" s="8" t="n">
        <v>0</v>
      </c>
      <c r="BK220" s="8" t="n">
        <v>0</v>
      </c>
      <c r="BL220" s="8" t="n">
        <v>0</v>
      </c>
      <c r="BM220" s="8" t="n">
        <v>0</v>
      </c>
      <c r="BN220" s="8" t="n">
        <v>0</v>
      </c>
      <c r="BO220" s="8" t="n">
        <v>0</v>
      </c>
      <c r="BP220" s="8" t="n">
        <v>8</v>
      </c>
      <c r="BQ220" s="8" t="n">
        <v>0</v>
      </c>
      <c r="BR220" s="8" t="n">
        <v>0</v>
      </c>
      <c r="BS220" s="8" t="n">
        <v>0</v>
      </c>
      <c r="BT220" s="8" t="n">
        <v>7</v>
      </c>
      <c r="BU220" s="8" t="n">
        <v>0</v>
      </c>
      <c r="BV220" s="8" t="n">
        <v>0</v>
      </c>
      <c r="BW220" s="8" t="n">
        <v>0</v>
      </c>
      <c r="BX220" s="8" t="n">
        <v>0</v>
      </c>
      <c r="BY220" s="8" t="n">
        <v>80</v>
      </c>
      <c r="BZ220" s="8" t="n">
        <v>20</v>
      </c>
      <c r="CA220" s="8" t="n">
        <v>0</v>
      </c>
      <c r="CB220" s="8" t="n">
        <v>35</v>
      </c>
      <c r="CC220" s="8" t="n">
        <v>0</v>
      </c>
      <c r="CD220" s="8" t="n">
        <v>0</v>
      </c>
      <c r="CE220" s="8" t="n">
        <v>5</v>
      </c>
    </row>
    <row r="221">
      <c r="A221" s="15" t="inlineStr">
        <is>
          <t>2026-05-08</t>
        </is>
      </c>
      <c r="B221" s="11" t="n">
        <v>0</v>
      </c>
      <c r="C221" s="11" t="n">
        <v>0</v>
      </c>
      <c r="D221" s="11" t="n">
        <v>1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1</v>
      </c>
      <c r="O221" s="11" t="n">
        <v>0</v>
      </c>
      <c r="P221" s="11" t="n">
        <v>0</v>
      </c>
      <c r="Q221" s="11" t="n">
        <v>0</v>
      </c>
      <c r="R221" s="11" t="n">
        <v>0</v>
      </c>
      <c r="S221" s="11" t="n">
        <v>20</v>
      </c>
      <c r="T221" s="11" t="n">
        <v>0</v>
      </c>
      <c r="U221" s="11" t="n">
        <v>0</v>
      </c>
      <c r="V221" s="11" t="n">
        <v>0</v>
      </c>
      <c r="W221" s="11" t="n">
        <v>0</v>
      </c>
      <c r="X221" s="11" t="n">
        <v>0</v>
      </c>
      <c r="Y221" s="11" t="n">
        <v>0</v>
      </c>
      <c r="Z221" s="11" t="n">
        <v>450</v>
      </c>
      <c r="AA221" s="11" t="n">
        <v>100</v>
      </c>
      <c r="AB221" s="11" t="n">
        <v>40</v>
      </c>
      <c r="AC221" s="11" t="n">
        <v>0</v>
      </c>
      <c r="AD221" s="11" t="n">
        <v>10</v>
      </c>
      <c r="AE221" s="11" t="n">
        <v>0</v>
      </c>
      <c r="AF221" s="11" t="n">
        <v>0</v>
      </c>
      <c r="AG221" s="11" t="n">
        <v>0</v>
      </c>
      <c r="AH221" s="11" t="n">
        <v>0</v>
      </c>
      <c r="AI221" s="11" t="n">
        <v>0</v>
      </c>
      <c r="AJ221" s="11" t="n">
        <v>0</v>
      </c>
      <c r="AK221" s="11" t="n">
        <v>0</v>
      </c>
      <c r="AL221" s="11" t="n">
        <v>0</v>
      </c>
      <c r="AM221" s="11" t="n">
        <v>0</v>
      </c>
      <c r="AN221" s="11" t="n">
        <v>0</v>
      </c>
      <c r="AO221" s="11" t="n">
        <v>0</v>
      </c>
      <c r="AP221" s="11" t="n">
        <v>0</v>
      </c>
      <c r="AQ221" s="11" t="n">
        <v>0</v>
      </c>
      <c r="AR221" s="11" t="n">
        <v>0</v>
      </c>
      <c r="AS221" s="11" t="n">
        <v>0</v>
      </c>
      <c r="AT221" s="11" t="n">
        <v>0</v>
      </c>
      <c r="AU221" s="11" t="n">
        <v>0</v>
      </c>
      <c r="AV221" s="11" t="n">
        <v>0</v>
      </c>
      <c r="AW221" s="11" t="n">
        <v>0</v>
      </c>
      <c r="AX221" s="11" t="n">
        <v>0</v>
      </c>
      <c r="AY221" s="11" t="n">
        <v>0</v>
      </c>
      <c r="AZ221" s="11" t="n">
        <v>0</v>
      </c>
      <c r="BA221" s="11" t="n">
        <v>0</v>
      </c>
      <c r="BB221" s="11" t="n">
        <v>0</v>
      </c>
      <c r="BC221" s="11" t="n">
        <v>0</v>
      </c>
      <c r="BD221" s="11" t="n">
        <v>0</v>
      </c>
      <c r="BE221" s="11" t="n">
        <v>0</v>
      </c>
      <c r="BF221" s="11" t="n">
        <v>0</v>
      </c>
      <c r="BG221" s="11" t="n">
        <v>0</v>
      </c>
      <c r="BH221" s="11" t="n">
        <v>200</v>
      </c>
      <c r="BI221" s="11" t="n">
        <v>0</v>
      </c>
      <c r="BJ221" s="11" t="n">
        <v>0</v>
      </c>
      <c r="BK221" s="11" t="n">
        <v>0</v>
      </c>
      <c r="BL221" s="11" t="n">
        <v>0</v>
      </c>
      <c r="BM221" s="11" t="n">
        <v>0</v>
      </c>
      <c r="BN221" s="11" t="n">
        <v>0</v>
      </c>
      <c r="BO221" s="11" t="n">
        <v>0</v>
      </c>
      <c r="BP221" s="11" t="n">
        <v>0</v>
      </c>
      <c r="BQ221" s="11" t="n">
        <v>0</v>
      </c>
      <c r="BR221" s="11" t="n">
        <v>0</v>
      </c>
      <c r="BS221" s="11" t="n">
        <v>0</v>
      </c>
      <c r="BT221" s="11" t="n">
        <v>0</v>
      </c>
      <c r="BU221" s="11" t="n">
        <v>0</v>
      </c>
      <c r="BV221" s="11" t="n">
        <v>0</v>
      </c>
      <c r="BW221" s="11" t="n">
        <v>0</v>
      </c>
      <c r="BX221" s="11" t="n">
        <v>0</v>
      </c>
      <c r="BY221" s="11" t="n">
        <v>80</v>
      </c>
      <c r="BZ221" s="11" t="n">
        <v>10</v>
      </c>
      <c r="CA221" s="11" t="n">
        <v>0</v>
      </c>
      <c r="CB221" s="11" t="n">
        <v>35</v>
      </c>
      <c r="CC221" s="11" t="n">
        <v>2</v>
      </c>
      <c r="CD221" s="11" t="n">
        <v>0</v>
      </c>
      <c r="CE221" s="11" t="n">
        <v>0</v>
      </c>
    </row>
    <row r="222">
      <c r="A222" s="14" t="inlineStr">
        <is>
          <t>2026-05-11</t>
        </is>
      </c>
      <c r="B222" s="8" t="n">
        <v>0</v>
      </c>
      <c r="C222" s="8" t="n">
        <v>0</v>
      </c>
      <c r="D222" s="8" t="n">
        <v>1</v>
      </c>
      <c r="E222" s="8" t="n">
        <v>0</v>
      </c>
      <c r="F222" s="8" t="n">
        <v>0</v>
      </c>
      <c r="G222" s="8" t="n">
        <v>0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0</v>
      </c>
      <c r="M222" s="8" t="n">
        <v>0</v>
      </c>
      <c r="N222" s="8" t="n">
        <v>1</v>
      </c>
      <c r="O222" s="8" t="n">
        <v>0</v>
      </c>
      <c r="P222" s="8" t="n">
        <v>0</v>
      </c>
      <c r="Q222" s="8" t="n">
        <v>1</v>
      </c>
      <c r="R222" s="8" t="n">
        <v>0</v>
      </c>
      <c r="S222" s="8" t="n">
        <v>20</v>
      </c>
      <c r="T222" s="8" t="n">
        <v>0</v>
      </c>
      <c r="U222" s="8" t="n">
        <v>0</v>
      </c>
      <c r="V222" s="8" t="n">
        <v>0</v>
      </c>
      <c r="W222" s="8" t="n">
        <v>0</v>
      </c>
      <c r="X222" s="8" t="n">
        <v>0</v>
      </c>
      <c r="Y222" s="8" t="n">
        <v>0</v>
      </c>
      <c r="Z222" s="8" t="n">
        <v>450</v>
      </c>
      <c r="AA222" s="8" t="n">
        <v>100</v>
      </c>
      <c r="AB222" s="8" t="n">
        <v>40</v>
      </c>
      <c r="AC222" s="8" t="n">
        <v>0</v>
      </c>
      <c r="AD222" s="8" t="n">
        <v>10</v>
      </c>
      <c r="AE222" s="8" t="n">
        <v>0</v>
      </c>
      <c r="AF222" s="8" t="n">
        <v>0</v>
      </c>
      <c r="AG222" s="8" t="n">
        <v>0</v>
      </c>
      <c r="AH222" s="8" t="n">
        <v>0</v>
      </c>
      <c r="AI222" s="8" t="n">
        <v>0</v>
      </c>
      <c r="AJ222" s="8" t="n">
        <v>0</v>
      </c>
      <c r="AK222" s="8" t="n">
        <v>0</v>
      </c>
      <c r="AL222" s="8" t="n">
        <v>0</v>
      </c>
      <c r="AM222" s="8" t="n">
        <v>0</v>
      </c>
      <c r="AN222" s="8" t="n">
        <v>0</v>
      </c>
      <c r="AO222" s="8" t="n">
        <v>0</v>
      </c>
      <c r="AP222" s="8" t="n">
        <v>0</v>
      </c>
      <c r="AQ222" s="8" t="n">
        <v>0</v>
      </c>
      <c r="AR222" s="8" t="n">
        <v>0</v>
      </c>
      <c r="AS222" s="8" t="n">
        <v>0</v>
      </c>
      <c r="AT222" s="8" t="n">
        <v>0</v>
      </c>
      <c r="AU222" s="8" t="n">
        <v>0</v>
      </c>
      <c r="AV222" s="8" t="n">
        <v>0</v>
      </c>
      <c r="AW222" s="8" t="n">
        <v>0</v>
      </c>
      <c r="AX222" s="8" t="n">
        <v>0</v>
      </c>
      <c r="AY222" s="8" t="n">
        <v>0</v>
      </c>
      <c r="AZ222" s="8" t="n">
        <v>0</v>
      </c>
      <c r="BA222" s="8" t="n">
        <v>0</v>
      </c>
      <c r="BB222" s="8" t="n">
        <v>0</v>
      </c>
      <c r="BC222" s="8" t="n">
        <v>0</v>
      </c>
      <c r="BD222" s="8" t="n">
        <v>0</v>
      </c>
      <c r="BE222" s="8" t="n">
        <v>0</v>
      </c>
      <c r="BF222" s="8" t="n">
        <v>0</v>
      </c>
      <c r="BG222" s="8" t="n">
        <v>0</v>
      </c>
      <c r="BH222" s="8" t="n">
        <v>200</v>
      </c>
      <c r="BI222" s="8" t="n">
        <v>0</v>
      </c>
      <c r="BJ222" s="8" t="n">
        <v>0</v>
      </c>
      <c r="BK222" s="8" t="n">
        <v>0</v>
      </c>
      <c r="BL222" s="8" t="n">
        <v>0</v>
      </c>
      <c r="BM222" s="8" t="n">
        <v>0</v>
      </c>
      <c r="BN222" s="8" t="n">
        <v>0</v>
      </c>
      <c r="BO222" s="8" t="n">
        <v>0</v>
      </c>
      <c r="BP222" s="8" t="n">
        <v>0</v>
      </c>
      <c r="BQ222" s="8" t="n">
        <v>0</v>
      </c>
      <c r="BR222" s="8" t="n">
        <v>0</v>
      </c>
      <c r="BS222" s="8" t="n">
        <v>0</v>
      </c>
      <c r="BT222" s="8" t="n">
        <v>0</v>
      </c>
      <c r="BU222" s="8" t="n">
        <v>0</v>
      </c>
      <c r="BV222" s="8" t="n">
        <v>0</v>
      </c>
      <c r="BW222" s="8" t="n">
        <v>0</v>
      </c>
      <c r="BX222" s="8" t="n">
        <v>0</v>
      </c>
      <c r="BY222" s="8" t="n">
        <v>80</v>
      </c>
      <c r="BZ222" s="8" t="n">
        <v>0</v>
      </c>
      <c r="CA222" s="8" t="n">
        <v>0</v>
      </c>
      <c r="CB222" s="8" t="n">
        <v>35</v>
      </c>
      <c r="CC222" s="8" t="n">
        <v>2</v>
      </c>
      <c r="CD222" s="8" t="n">
        <v>0</v>
      </c>
      <c r="CE222" s="8" t="n">
        <v>0</v>
      </c>
    </row>
    <row r="223">
      <c r="A223" s="15" t="inlineStr">
        <is>
          <t>2026-05-12</t>
        </is>
      </c>
      <c r="B223" s="11" t="n">
        <v>0</v>
      </c>
      <c r="C223" s="11" t="n">
        <v>0</v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1</v>
      </c>
      <c r="O223" s="11" t="n">
        <v>0</v>
      </c>
      <c r="P223" s="11" t="n">
        <v>0</v>
      </c>
      <c r="Q223" s="11" t="n">
        <v>0</v>
      </c>
      <c r="R223" s="11" t="n">
        <v>0</v>
      </c>
      <c r="S223" s="11" t="n">
        <v>20</v>
      </c>
      <c r="T223" s="11" t="n">
        <v>0</v>
      </c>
      <c r="U223" s="11" t="n">
        <v>0</v>
      </c>
      <c r="V223" s="11" t="n">
        <v>0</v>
      </c>
      <c r="W223" s="11" t="n">
        <v>0</v>
      </c>
      <c r="X223" s="11" t="n">
        <v>0</v>
      </c>
      <c r="Y223" s="11" t="n">
        <v>0</v>
      </c>
      <c r="Z223" s="11" t="n">
        <v>450</v>
      </c>
      <c r="AA223" s="11" t="n">
        <v>100</v>
      </c>
      <c r="AB223" s="11" t="n">
        <v>40</v>
      </c>
      <c r="AC223" s="11" t="n">
        <v>0</v>
      </c>
      <c r="AD223" s="11" t="n">
        <v>10</v>
      </c>
      <c r="AE223" s="11" t="n">
        <v>0</v>
      </c>
      <c r="AF223" s="11" t="n">
        <v>0</v>
      </c>
      <c r="AG223" s="11" t="n">
        <v>0</v>
      </c>
      <c r="AH223" s="11" t="n">
        <v>0</v>
      </c>
      <c r="AI223" s="11" t="n">
        <v>0</v>
      </c>
      <c r="AJ223" s="11" t="n">
        <v>0</v>
      </c>
      <c r="AK223" s="11" t="n">
        <v>0</v>
      </c>
      <c r="AL223" s="11" t="n">
        <v>0</v>
      </c>
      <c r="AM223" s="11" t="n">
        <v>0</v>
      </c>
      <c r="AN223" s="11" t="n">
        <v>0</v>
      </c>
      <c r="AO223" s="11" t="n">
        <v>0</v>
      </c>
      <c r="AP223" s="11" t="n">
        <v>0</v>
      </c>
      <c r="AQ223" s="11" t="n">
        <v>0</v>
      </c>
      <c r="AR223" s="11" t="n">
        <v>0</v>
      </c>
      <c r="AS223" s="11" t="n">
        <v>0</v>
      </c>
      <c r="AT223" s="11" t="n">
        <v>0</v>
      </c>
      <c r="AU223" s="11" t="n">
        <v>0</v>
      </c>
      <c r="AV223" s="11" t="n">
        <v>0</v>
      </c>
      <c r="AW223" s="11" t="n">
        <v>0</v>
      </c>
      <c r="AX223" s="11" t="n">
        <v>0</v>
      </c>
      <c r="AY223" s="11" t="n">
        <v>0</v>
      </c>
      <c r="AZ223" s="11" t="n">
        <v>0</v>
      </c>
      <c r="BA223" s="11" t="n">
        <v>0</v>
      </c>
      <c r="BB223" s="11" t="n">
        <v>0</v>
      </c>
      <c r="BC223" s="11" t="n">
        <v>0</v>
      </c>
      <c r="BD223" s="11" t="n">
        <v>0</v>
      </c>
      <c r="BE223" s="11" t="n">
        <v>0</v>
      </c>
      <c r="BF223" s="11" t="n">
        <v>0</v>
      </c>
      <c r="BG223" s="11" t="n">
        <v>0</v>
      </c>
      <c r="BH223" s="11" t="n">
        <v>200</v>
      </c>
      <c r="BI223" s="11" t="n">
        <v>0</v>
      </c>
      <c r="BJ223" s="11" t="n">
        <v>0</v>
      </c>
      <c r="BK223" s="11" t="n">
        <v>0</v>
      </c>
      <c r="BL223" s="11" t="n">
        <v>0</v>
      </c>
      <c r="BM223" s="11" t="n">
        <v>0</v>
      </c>
      <c r="BN223" s="11" t="n">
        <v>0</v>
      </c>
      <c r="BO223" s="11" t="n">
        <v>0</v>
      </c>
      <c r="BP223" s="11" t="n">
        <v>0</v>
      </c>
      <c r="BQ223" s="11" t="n">
        <v>0</v>
      </c>
      <c r="BR223" s="11" t="n">
        <v>0</v>
      </c>
      <c r="BS223" s="11" t="n">
        <v>0</v>
      </c>
      <c r="BT223" s="11" t="n">
        <v>0</v>
      </c>
      <c r="BU223" s="11" t="n">
        <v>0</v>
      </c>
      <c r="BV223" s="11" t="n">
        <v>0</v>
      </c>
      <c r="BW223" s="11" t="n">
        <v>0</v>
      </c>
      <c r="BX223" s="11" t="n">
        <v>0</v>
      </c>
      <c r="BY223" s="11" t="n">
        <v>80</v>
      </c>
      <c r="BZ223" s="11" t="n">
        <v>0</v>
      </c>
      <c r="CA223" s="11" t="n">
        <v>0</v>
      </c>
      <c r="CB223" s="11" t="n">
        <v>35</v>
      </c>
      <c r="CC223" s="11" t="n">
        <v>2</v>
      </c>
      <c r="CD223" s="11" t="n">
        <v>0</v>
      </c>
      <c r="CE223" s="11" t="n">
        <v>0</v>
      </c>
    </row>
    <row r="224">
      <c r="A224" s="14" t="inlineStr">
        <is>
          <t>2026-05-13</t>
        </is>
      </c>
      <c r="B224" s="8" t="n">
        <v>0</v>
      </c>
      <c r="C224" s="8" t="n">
        <v>0</v>
      </c>
      <c r="D224" s="8" t="n">
        <v>0</v>
      </c>
      <c r="E224" s="8" t="n">
        <v>0</v>
      </c>
      <c r="F224" s="8" t="n">
        <v>0</v>
      </c>
      <c r="G224" s="8" t="n">
        <v>0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0</v>
      </c>
      <c r="M224" s="8" t="n">
        <v>0</v>
      </c>
      <c r="N224" s="8" t="n">
        <v>1</v>
      </c>
      <c r="O224" s="8" t="n">
        <v>0</v>
      </c>
      <c r="P224" s="8" t="n">
        <v>0</v>
      </c>
      <c r="Q224" s="8" t="n">
        <v>0</v>
      </c>
      <c r="R224" s="8" t="n">
        <v>0</v>
      </c>
      <c r="S224" s="8" t="n">
        <v>20</v>
      </c>
      <c r="T224" s="8" t="n">
        <v>0</v>
      </c>
      <c r="U224" s="8" t="n">
        <v>0</v>
      </c>
      <c r="V224" s="8" t="n">
        <v>0</v>
      </c>
      <c r="W224" s="8" t="n">
        <v>0</v>
      </c>
      <c r="X224" s="8" t="n">
        <v>0</v>
      </c>
      <c r="Y224" s="8" t="n">
        <v>0</v>
      </c>
      <c r="Z224" s="8" t="n">
        <v>450</v>
      </c>
      <c r="AA224" s="8" t="n">
        <v>100</v>
      </c>
      <c r="AB224" s="8" t="n">
        <v>40</v>
      </c>
      <c r="AC224" s="8" t="n">
        <v>0</v>
      </c>
      <c r="AD224" s="8" t="n">
        <v>10</v>
      </c>
      <c r="AE224" s="8" t="n">
        <v>0</v>
      </c>
      <c r="AF224" s="8" t="n">
        <v>0</v>
      </c>
      <c r="AG224" s="8" t="n">
        <v>0</v>
      </c>
      <c r="AH224" s="8" t="n">
        <v>0</v>
      </c>
      <c r="AI224" s="8" t="n">
        <v>0</v>
      </c>
      <c r="AJ224" s="8" t="n">
        <v>0</v>
      </c>
      <c r="AK224" s="8" t="n">
        <v>0</v>
      </c>
      <c r="AL224" s="8" t="n">
        <v>0</v>
      </c>
      <c r="AM224" s="8" t="n">
        <v>0</v>
      </c>
      <c r="AN224" s="8" t="n">
        <v>0</v>
      </c>
      <c r="AO224" s="8" t="n">
        <v>0</v>
      </c>
      <c r="AP224" s="8" t="n">
        <v>0</v>
      </c>
      <c r="AQ224" s="8" t="n">
        <v>0</v>
      </c>
      <c r="AR224" s="8" t="n">
        <v>0</v>
      </c>
      <c r="AS224" s="8" t="n">
        <v>0</v>
      </c>
      <c r="AT224" s="8" t="n">
        <v>0</v>
      </c>
      <c r="AU224" s="8" t="n">
        <v>0</v>
      </c>
      <c r="AV224" s="8" t="n">
        <v>0</v>
      </c>
      <c r="AW224" s="8" t="n">
        <v>0</v>
      </c>
      <c r="AX224" s="8" t="n">
        <v>0</v>
      </c>
      <c r="AY224" s="8" t="n">
        <v>0</v>
      </c>
      <c r="AZ224" s="8" t="n">
        <v>0</v>
      </c>
      <c r="BA224" s="8" t="n">
        <v>0</v>
      </c>
      <c r="BB224" s="8" t="n">
        <v>0</v>
      </c>
      <c r="BC224" s="8" t="n">
        <v>0</v>
      </c>
      <c r="BD224" s="8" t="n">
        <v>0</v>
      </c>
      <c r="BE224" s="8" t="n">
        <v>0</v>
      </c>
      <c r="BF224" s="8" t="n">
        <v>0</v>
      </c>
      <c r="BG224" s="8" t="n">
        <v>0</v>
      </c>
      <c r="BH224" s="8" t="n">
        <v>200</v>
      </c>
      <c r="BI224" s="8" t="n">
        <v>0</v>
      </c>
      <c r="BJ224" s="8" t="n">
        <v>0</v>
      </c>
      <c r="BK224" s="8" t="n">
        <v>0</v>
      </c>
      <c r="BL224" s="8" t="n">
        <v>0</v>
      </c>
      <c r="BM224" s="8" t="n">
        <v>0</v>
      </c>
      <c r="BN224" s="8" t="n">
        <v>0</v>
      </c>
      <c r="BO224" s="8" t="n">
        <v>0</v>
      </c>
      <c r="BP224" s="8" t="n">
        <v>0</v>
      </c>
      <c r="BQ224" s="8" t="n">
        <v>0</v>
      </c>
      <c r="BR224" s="8" t="n">
        <v>0</v>
      </c>
      <c r="BS224" s="8" t="n">
        <v>0</v>
      </c>
      <c r="BT224" s="8" t="n">
        <v>0</v>
      </c>
      <c r="BU224" s="8" t="n">
        <v>0</v>
      </c>
      <c r="BV224" s="8" t="n">
        <v>0</v>
      </c>
      <c r="BW224" s="8" t="n">
        <v>0</v>
      </c>
      <c r="BX224" s="8" t="n">
        <v>0</v>
      </c>
      <c r="BY224" s="8" t="n">
        <v>80</v>
      </c>
      <c r="BZ224" s="8" t="n">
        <v>0</v>
      </c>
      <c r="CA224" s="8" t="n">
        <v>0</v>
      </c>
      <c r="CB224" s="8" t="n">
        <v>35</v>
      </c>
      <c r="CC224" s="8" t="n">
        <v>4</v>
      </c>
      <c r="CD224" s="8" t="n">
        <v>0</v>
      </c>
      <c r="CE224" s="8" t="n">
        <v>0</v>
      </c>
    </row>
    <row r="225">
      <c r="A225" s="15" t="inlineStr">
        <is>
          <t>2026-05-14</t>
        </is>
      </c>
      <c r="B225" s="11" t="n">
        <v>0</v>
      </c>
      <c r="C225" s="11" t="n">
        <v>0</v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  <c r="P225" s="11" t="n">
        <v>0</v>
      </c>
      <c r="Q225" s="11" t="n">
        <v>0</v>
      </c>
      <c r="R225" s="11" t="n">
        <v>0</v>
      </c>
      <c r="S225" s="11" t="n">
        <v>20</v>
      </c>
      <c r="T225" s="11" t="n">
        <v>0</v>
      </c>
      <c r="U225" s="11" t="n">
        <v>0</v>
      </c>
      <c r="V225" s="11" t="n">
        <v>0</v>
      </c>
      <c r="W225" s="11" t="n">
        <v>0</v>
      </c>
      <c r="X225" s="11" t="n">
        <v>0</v>
      </c>
      <c r="Y225" s="11" t="n">
        <v>0</v>
      </c>
      <c r="Z225" s="11" t="n">
        <v>450</v>
      </c>
      <c r="AA225" s="11" t="n">
        <v>100</v>
      </c>
      <c r="AB225" s="11" t="n">
        <v>40</v>
      </c>
      <c r="AC225" s="11" t="n">
        <v>0</v>
      </c>
      <c r="AD225" s="11" t="n">
        <v>10</v>
      </c>
      <c r="AE225" s="11" t="n">
        <v>0</v>
      </c>
      <c r="AF225" s="11" t="n">
        <v>0</v>
      </c>
      <c r="AG225" s="11" t="n">
        <v>0</v>
      </c>
      <c r="AH225" s="11" t="n">
        <v>0</v>
      </c>
      <c r="AI225" s="11" t="n">
        <v>0</v>
      </c>
      <c r="AJ225" s="11" t="n">
        <v>0</v>
      </c>
      <c r="AK225" s="11" t="n">
        <v>0</v>
      </c>
      <c r="AL225" s="11" t="n">
        <v>0</v>
      </c>
      <c r="AM225" s="11" t="n">
        <v>0</v>
      </c>
      <c r="AN225" s="11" t="n">
        <v>0</v>
      </c>
      <c r="AO225" s="11" t="n">
        <v>0</v>
      </c>
      <c r="AP225" s="11" t="n">
        <v>0</v>
      </c>
      <c r="AQ225" s="11" t="n">
        <v>0</v>
      </c>
      <c r="AR225" s="11" t="n">
        <v>0</v>
      </c>
      <c r="AS225" s="11" t="n">
        <v>0</v>
      </c>
      <c r="AT225" s="11" t="n">
        <v>0</v>
      </c>
      <c r="AU225" s="11" t="n">
        <v>0</v>
      </c>
      <c r="AV225" s="11" t="n">
        <v>0</v>
      </c>
      <c r="AW225" s="11" t="n">
        <v>0</v>
      </c>
      <c r="AX225" s="11" t="n">
        <v>0</v>
      </c>
      <c r="AY225" s="11" t="n">
        <v>0</v>
      </c>
      <c r="AZ225" s="11" t="n">
        <v>0</v>
      </c>
      <c r="BA225" s="11" t="n">
        <v>0</v>
      </c>
      <c r="BB225" s="11" t="n">
        <v>0</v>
      </c>
      <c r="BC225" s="11" t="n">
        <v>0</v>
      </c>
      <c r="BD225" s="11" t="n">
        <v>0</v>
      </c>
      <c r="BE225" s="11" t="n">
        <v>0</v>
      </c>
      <c r="BF225" s="11" t="n">
        <v>0</v>
      </c>
      <c r="BG225" s="11" t="n">
        <v>0</v>
      </c>
      <c r="BH225" s="11" t="n">
        <v>200</v>
      </c>
      <c r="BI225" s="11" t="n">
        <v>0</v>
      </c>
      <c r="BJ225" s="11" t="n">
        <v>0</v>
      </c>
      <c r="BK225" s="11" t="n">
        <v>0</v>
      </c>
      <c r="BL225" s="11" t="n">
        <v>0</v>
      </c>
      <c r="BM225" s="11" t="n">
        <v>0</v>
      </c>
      <c r="BN225" s="11" t="n">
        <v>0</v>
      </c>
      <c r="BO225" s="11" t="n">
        <v>0</v>
      </c>
      <c r="BP225" s="11" t="n">
        <v>0</v>
      </c>
      <c r="BQ225" s="11" t="n">
        <v>0</v>
      </c>
      <c r="BR225" s="11" t="n">
        <v>0</v>
      </c>
      <c r="BS225" s="11" t="n">
        <v>0</v>
      </c>
      <c r="BT225" s="11" t="n">
        <v>0</v>
      </c>
      <c r="BU225" s="11" t="n">
        <v>0</v>
      </c>
      <c r="BV225" s="11" t="n">
        <v>0</v>
      </c>
      <c r="BW225" s="11" t="n">
        <v>0</v>
      </c>
      <c r="BX225" s="11" t="n">
        <v>0</v>
      </c>
      <c r="BY225" s="11" t="n">
        <v>80</v>
      </c>
      <c r="BZ225" s="11" t="n">
        <v>0</v>
      </c>
      <c r="CA225" s="11" t="n">
        <v>0</v>
      </c>
      <c r="CB225" s="11" t="n">
        <v>19</v>
      </c>
      <c r="CC225" s="11" t="n">
        <v>6</v>
      </c>
      <c r="CD225" s="11" t="n">
        <v>0</v>
      </c>
      <c r="CE225" s="11" t="n">
        <v>0</v>
      </c>
    </row>
    <row r="226">
      <c r="A226" s="14" t="inlineStr">
        <is>
          <t>2026-05-15</t>
        </is>
      </c>
      <c r="B226" s="8" t="n">
        <v>0</v>
      </c>
      <c r="C226" s="8" t="n">
        <v>0</v>
      </c>
      <c r="D226" s="8" t="n">
        <v>0</v>
      </c>
      <c r="E226" s="8" t="n">
        <v>0</v>
      </c>
      <c r="F226" s="8" t="n">
        <v>0</v>
      </c>
      <c r="G226" s="8" t="n">
        <v>0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0</v>
      </c>
      <c r="M226" s="8" t="n">
        <v>0</v>
      </c>
      <c r="N226" s="8" t="n">
        <v>0</v>
      </c>
      <c r="O226" s="8" t="n">
        <v>0</v>
      </c>
      <c r="P226" s="8" t="n">
        <v>0</v>
      </c>
      <c r="Q226" s="8" t="n">
        <v>0</v>
      </c>
      <c r="R226" s="8" t="n">
        <v>0</v>
      </c>
      <c r="S226" s="8" t="n">
        <v>20</v>
      </c>
      <c r="T226" s="8" t="n">
        <v>0</v>
      </c>
      <c r="U226" s="8" t="n">
        <v>0</v>
      </c>
      <c r="V226" s="8" t="n">
        <v>0</v>
      </c>
      <c r="W226" s="8" t="n">
        <v>0</v>
      </c>
      <c r="X226" s="8" t="n">
        <v>0</v>
      </c>
      <c r="Y226" s="8" t="n">
        <v>0</v>
      </c>
      <c r="Z226" s="8" t="n">
        <v>450</v>
      </c>
      <c r="AA226" s="8" t="n">
        <v>100</v>
      </c>
      <c r="AB226" s="8" t="n">
        <v>40</v>
      </c>
      <c r="AC226" s="8" t="n">
        <v>0</v>
      </c>
      <c r="AD226" s="8" t="n">
        <v>10</v>
      </c>
      <c r="AE226" s="8" t="n">
        <v>0</v>
      </c>
      <c r="AF226" s="8" t="n">
        <v>0</v>
      </c>
      <c r="AG226" s="8" t="n">
        <v>0</v>
      </c>
      <c r="AH226" s="8" t="n">
        <v>0</v>
      </c>
      <c r="AI226" s="8" t="n">
        <v>0</v>
      </c>
      <c r="AJ226" s="8" t="n">
        <v>0</v>
      </c>
      <c r="AK226" s="8" t="n">
        <v>0</v>
      </c>
      <c r="AL226" s="8" t="n">
        <v>0</v>
      </c>
      <c r="AM226" s="8" t="n">
        <v>0</v>
      </c>
      <c r="AN226" s="8" t="n">
        <v>0</v>
      </c>
      <c r="AO226" s="8" t="n">
        <v>0</v>
      </c>
      <c r="AP226" s="8" t="n">
        <v>0</v>
      </c>
      <c r="AQ226" s="8" t="n">
        <v>0</v>
      </c>
      <c r="AR226" s="8" t="n">
        <v>0</v>
      </c>
      <c r="AS226" s="8" t="n">
        <v>0</v>
      </c>
      <c r="AT226" s="8" t="n">
        <v>0</v>
      </c>
      <c r="AU226" s="8" t="n">
        <v>0</v>
      </c>
      <c r="AV226" s="8" t="n">
        <v>0</v>
      </c>
      <c r="AW226" s="8" t="n">
        <v>0</v>
      </c>
      <c r="AX226" s="8" t="n">
        <v>0</v>
      </c>
      <c r="AY226" s="8" t="n">
        <v>0</v>
      </c>
      <c r="AZ226" s="8" t="n">
        <v>0</v>
      </c>
      <c r="BA226" s="8" t="n">
        <v>0</v>
      </c>
      <c r="BB226" s="8" t="n">
        <v>0</v>
      </c>
      <c r="BC226" s="8" t="n">
        <v>0</v>
      </c>
      <c r="BD226" s="8" t="n">
        <v>0</v>
      </c>
      <c r="BE226" s="8" t="n">
        <v>0</v>
      </c>
      <c r="BF226" s="8" t="n">
        <v>0</v>
      </c>
      <c r="BG226" s="8" t="n">
        <v>0</v>
      </c>
      <c r="BH226" s="8" t="n">
        <v>200</v>
      </c>
      <c r="BI226" s="8" t="n">
        <v>0</v>
      </c>
      <c r="BJ226" s="8" t="n">
        <v>0</v>
      </c>
      <c r="BK226" s="8" t="n">
        <v>0</v>
      </c>
      <c r="BL226" s="8" t="n">
        <v>0</v>
      </c>
      <c r="BM226" s="8" t="n">
        <v>0</v>
      </c>
      <c r="BN226" s="8" t="n">
        <v>0</v>
      </c>
      <c r="BO226" s="8" t="n">
        <v>0</v>
      </c>
      <c r="BP226" s="8" t="n">
        <v>0</v>
      </c>
      <c r="BQ226" s="8" t="n">
        <v>0</v>
      </c>
      <c r="BR226" s="8" t="n">
        <v>0</v>
      </c>
      <c r="BS226" s="8" t="n">
        <v>0</v>
      </c>
      <c r="BT226" s="8" t="n">
        <v>0</v>
      </c>
      <c r="BU226" s="8" t="n">
        <v>0</v>
      </c>
      <c r="BV226" s="8" t="n">
        <v>0</v>
      </c>
      <c r="BW226" s="8" t="n">
        <v>0</v>
      </c>
      <c r="BX226" s="8" t="n">
        <v>0</v>
      </c>
      <c r="BY226" s="8" t="n">
        <v>80</v>
      </c>
      <c r="BZ226" s="8" t="n">
        <v>0</v>
      </c>
      <c r="CA226" s="8" t="n">
        <v>0</v>
      </c>
      <c r="CB226" s="8" t="n">
        <v>19</v>
      </c>
      <c r="CC226" s="8" t="n">
        <v>6</v>
      </c>
      <c r="CD226" s="8" t="n">
        <v>0</v>
      </c>
      <c r="CE226" s="8" t="n">
        <v>0</v>
      </c>
    </row>
    <row r="227">
      <c r="A227" s="15" t="inlineStr">
        <is>
          <t>2026-05-18</t>
        </is>
      </c>
      <c r="B227" s="11" t="n">
        <v>0</v>
      </c>
      <c r="C227" s="11" t="n">
        <v>0</v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  <c r="P227" s="11" t="n">
        <v>0</v>
      </c>
      <c r="Q227" s="11" t="n">
        <v>0</v>
      </c>
      <c r="R227" s="11" t="n">
        <v>0</v>
      </c>
      <c r="S227" s="11" t="n">
        <v>20</v>
      </c>
      <c r="T227" s="11" t="n">
        <v>0</v>
      </c>
      <c r="U227" s="11" t="n">
        <v>0</v>
      </c>
      <c r="V227" s="11" t="n">
        <v>0</v>
      </c>
      <c r="W227" s="11" t="n">
        <v>0</v>
      </c>
      <c r="X227" s="11" t="n">
        <v>0</v>
      </c>
      <c r="Y227" s="11" t="n">
        <v>0</v>
      </c>
      <c r="Z227" s="11" t="n">
        <v>450</v>
      </c>
      <c r="AA227" s="11" t="n">
        <v>100</v>
      </c>
      <c r="AB227" s="11" t="n">
        <v>40</v>
      </c>
      <c r="AC227" s="11" t="n">
        <v>0</v>
      </c>
      <c r="AD227" s="11" t="n">
        <v>0</v>
      </c>
      <c r="AE227" s="11" t="n">
        <v>0</v>
      </c>
      <c r="AF227" s="11" t="n">
        <v>0</v>
      </c>
      <c r="AG227" s="11" t="n">
        <v>0</v>
      </c>
      <c r="AH227" s="11" t="n">
        <v>1</v>
      </c>
      <c r="AI227" s="11" t="n">
        <v>0</v>
      </c>
      <c r="AJ227" s="11" t="n">
        <v>0</v>
      </c>
      <c r="AK227" s="11" t="n">
        <v>0</v>
      </c>
      <c r="AL227" s="11" t="n">
        <v>0</v>
      </c>
      <c r="AM227" s="11" t="n">
        <v>0</v>
      </c>
      <c r="AN227" s="11" t="n">
        <v>0</v>
      </c>
      <c r="AO227" s="11" t="n">
        <v>0</v>
      </c>
      <c r="AP227" s="11" t="n">
        <v>1</v>
      </c>
      <c r="AQ227" s="11" t="n">
        <v>0</v>
      </c>
      <c r="AR227" s="11" t="n">
        <v>0</v>
      </c>
      <c r="AS227" s="11" t="n">
        <v>0</v>
      </c>
      <c r="AT227" s="11" t="n">
        <v>0</v>
      </c>
      <c r="AU227" s="11" t="n">
        <v>0</v>
      </c>
      <c r="AV227" s="11" t="n">
        <v>0</v>
      </c>
      <c r="AW227" s="11" t="n">
        <v>0</v>
      </c>
      <c r="AX227" s="11" t="n">
        <v>0</v>
      </c>
      <c r="AY227" s="11" t="n">
        <v>0</v>
      </c>
      <c r="AZ227" s="11" t="n">
        <v>0</v>
      </c>
      <c r="BA227" s="11" t="n">
        <v>0</v>
      </c>
      <c r="BB227" s="11" t="n">
        <v>0</v>
      </c>
      <c r="BC227" s="11" t="n">
        <v>0</v>
      </c>
      <c r="BD227" s="11" t="n">
        <v>0</v>
      </c>
      <c r="BE227" s="11" t="n">
        <v>0</v>
      </c>
      <c r="BF227" s="11" t="n">
        <v>0</v>
      </c>
      <c r="BG227" s="11" t="n">
        <v>2</v>
      </c>
      <c r="BH227" s="11" t="n">
        <v>200</v>
      </c>
      <c r="BI227" s="11" t="n">
        <v>0</v>
      </c>
      <c r="BJ227" s="11" t="n">
        <v>0</v>
      </c>
      <c r="BK227" s="11" t="n">
        <v>0</v>
      </c>
      <c r="BL227" s="11" t="n">
        <v>0</v>
      </c>
      <c r="BM227" s="11" t="n">
        <v>0</v>
      </c>
      <c r="BN227" s="11" t="n">
        <v>3</v>
      </c>
      <c r="BO227" s="11" t="n">
        <v>0</v>
      </c>
      <c r="BP227" s="11" t="n">
        <v>0</v>
      </c>
      <c r="BQ227" s="11" t="n">
        <v>0</v>
      </c>
      <c r="BR227" s="11" t="n">
        <v>0</v>
      </c>
      <c r="BS227" s="11" t="n">
        <v>0</v>
      </c>
      <c r="BT227" s="11" t="n">
        <v>0</v>
      </c>
      <c r="BU227" s="11" t="n">
        <v>0</v>
      </c>
      <c r="BV227" s="11" t="n">
        <v>0</v>
      </c>
      <c r="BW227" s="11" t="n">
        <v>0</v>
      </c>
      <c r="BX227" s="11" t="n">
        <v>0</v>
      </c>
      <c r="BY227" s="11" t="n">
        <v>80</v>
      </c>
      <c r="BZ227" s="11" t="n">
        <v>0</v>
      </c>
      <c r="CA227" s="11" t="n">
        <v>0</v>
      </c>
      <c r="CB227" s="11" t="n">
        <v>19</v>
      </c>
      <c r="CC227" s="11" t="n">
        <v>6</v>
      </c>
      <c r="CD227" s="11" t="n">
        <v>0</v>
      </c>
      <c r="CE227" s="11" t="n">
        <v>0</v>
      </c>
    </row>
    <row r="228">
      <c r="A228" s="14" t="inlineStr">
        <is>
          <t>2026-05-19</t>
        </is>
      </c>
      <c r="B228" s="8" t="n">
        <v>0</v>
      </c>
      <c r="C228" s="8" t="n">
        <v>0</v>
      </c>
      <c r="D228" s="8" t="n">
        <v>0</v>
      </c>
      <c r="E228" s="8" t="n">
        <v>0</v>
      </c>
      <c r="F228" s="8" t="n">
        <v>0</v>
      </c>
      <c r="G228" s="8" t="n">
        <v>0</v>
      </c>
      <c r="H228" s="8" t="n">
        <v>0</v>
      </c>
      <c r="I228" s="8" t="n">
        <v>0</v>
      </c>
      <c r="J228" s="8" t="n">
        <v>0</v>
      </c>
      <c r="K228" s="8" t="n">
        <v>0</v>
      </c>
      <c r="L228" s="8" t="n">
        <v>0</v>
      </c>
      <c r="M228" s="8" t="n">
        <v>0</v>
      </c>
      <c r="N228" s="8" t="n">
        <v>0</v>
      </c>
      <c r="O228" s="8" t="n">
        <v>0</v>
      </c>
      <c r="P228" s="8" t="n">
        <v>0</v>
      </c>
      <c r="Q228" s="8" t="n">
        <v>0</v>
      </c>
      <c r="R228" s="8" t="n">
        <v>0</v>
      </c>
      <c r="S228" s="8" t="n">
        <v>20</v>
      </c>
      <c r="T228" s="8" t="n">
        <v>0</v>
      </c>
      <c r="U228" s="8" t="n">
        <v>0</v>
      </c>
      <c r="V228" s="8" t="n">
        <v>0</v>
      </c>
      <c r="W228" s="8" t="n">
        <v>0</v>
      </c>
      <c r="X228" s="8" t="n">
        <v>0</v>
      </c>
      <c r="Y228" s="8" t="n">
        <v>0</v>
      </c>
      <c r="Z228" s="8" t="n">
        <v>450</v>
      </c>
      <c r="AA228" s="8" t="n">
        <v>100</v>
      </c>
      <c r="AB228" s="8" t="n">
        <v>40</v>
      </c>
      <c r="AC228" s="8" t="n">
        <v>0</v>
      </c>
      <c r="AD228" s="8" t="n">
        <v>0</v>
      </c>
      <c r="AE228" s="8" t="n">
        <v>0</v>
      </c>
      <c r="AF228" s="8" t="n">
        <v>0</v>
      </c>
      <c r="AG228" s="8" t="n">
        <v>0</v>
      </c>
      <c r="AH228" s="8" t="n">
        <v>1</v>
      </c>
      <c r="AI228" s="8" t="n">
        <v>0</v>
      </c>
      <c r="AJ228" s="8" t="n">
        <v>0</v>
      </c>
      <c r="AK228" s="8" t="n">
        <v>0</v>
      </c>
      <c r="AL228" s="8" t="n">
        <v>0</v>
      </c>
      <c r="AM228" s="8" t="n">
        <v>0</v>
      </c>
      <c r="AN228" s="8" t="n">
        <v>0</v>
      </c>
      <c r="AO228" s="8" t="n">
        <v>0</v>
      </c>
      <c r="AP228" s="8" t="n">
        <v>1</v>
      </c>
      <c r="AQ228" s="8" t="n">
        <v>0</v>
      </c>
      <c r="AR228" s="8" t="n">
        <v>0</v>
      </c>
      <c r="AS228" s="8" t="n">
        <v>0</v>
      </c>
      <c r="AT228" s="8" t="n">
        <v>0</v>
      </c>
      <c r="AU228" s="8" t="n">
        <v>0</v>
      </c>
      <c r="AV228" s="8" t="n">
        <v>0</v>
      </c>
      <c r="AW228" s="8" t="n">
        <v>0</v>
      </c>
      <c r="AX228" s="8" t="n">
        <v>0</v>
      </c>
      <c r="AY228" s="8" t="n">
        <v>0</v>
      </c>
      <c r="AZ228" s="8" t="n">
        <v>0</v>
      </c>
      <c r="BA228" s="8" t="n">
        <v>0</v>
      </c>
      <c r="BB228" s="8" t="n">
        <v>0</v>
      </c>
      <c r="BC228" s="8" t="n">
        <v>0</v>
      </c>
      <c r="BD228" s="8" t="n">
        <v>0</v>
      </c>
      <c r="BE228" s="8" t="n">
        <v>0</v>
      </c>
      <c r="BF228" s="8" t="n">
        <v>0</v>
      </c>
      <c r="BG228" s="8" t="n">
        <v>2</v>
      </c>
      <c r="BH228" s="8" t="n">
        <v>200</v>
      </c>
      <c r="BI228" s="8" t="n">
        <v>0</v>
      </c>
      <c r="BJ228" s="8" t="n">
        <v>0</v>
      </c>
      <c r="BK228" s="8" t="n">
        <v>0</v>
      </c>
      <c r="BL228" s="8" t="n">
        <v>0</v>
      </c>
      <c r="BM228" s="8" t="n">
        <v>0</v>
      </c>
      <c r="BN228" s="8" t="n">
        <v>3</v>
      </c>
      <c r="BO228" s="8" t="n">
        <v>0</v>
      </c>
      <c r="BP228" s="8" t="n">
        <v>0</v>
      </c>
      <c r="BQ228" s="8" t="n">
        <v>0</v>
      </c>
      <c r="BR228" s="8" t="n">
        <v>0</v>
      </c>
      <c r="BS228" s="8" t="n">
        <v>0</v>
      </c>
      <c r="BT228" s="8" t="n">
        <v>0</v>
      </c>
      <c r="BU228" s="8" t="n">
        <v>0</v>
      </c>
      <c r="BV228" s="8" t="n">
        <v>0</v>
      </c>
      <c r="BW228" s="8" t="n">
        <v>0</v>
      </c>
      <c r="BX228" s="8" t="n">
        <v>0</v>
      </c>
      <c r="BY228" s="8" t="n">
        <v>80</v>
      </c>
      <c r="BZ228" s="8" t="n">
        <v>0</v>
      </c>
      <c r="CA228" s="8" t="n">
        <v>0</v>
      </c>
      <c r="CB228" s="8" t="n">
        <v>19</v>
      </c>
      <c r="CC228" s="8" t="n">
        <v>6</v>
      </c>
      <c r="CD228" s="8" t="n">
        <v>0</v>
      </c>
      <c r="CE228" s="8" t="n">
        <v>0</v>
      </c>
    </row>
    <row r="229">
      <c r="A229" s="15" t="inlineStr">
        <is>
          <t>2026-05-20</t>
        </is>
      </c>
      <c r="B229" s="11" t="n">
        <v>0</v>
      </c>
      <c r="C229" s="11" t="n">
        <v>0</v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  <c r="P229" s="11" t="n">
        <v>0</v>
      </c>
      <c r="Q229" s="11" t="n">
        <v>0</v>
      </c>
      <c r="R229" s="11" t="n">
        <v>0</v>
      </c>
      <c r="S229" s="11" t="n">
        <v>20</v>
      </c>
      <c r="T229" s="11" t="n">
        <v>0</v>
      </c>
      <c r="U229" s="11" t="n">
        <v>0</v>
      </c>
      <c r="V229" s="11" t="n">
        <v>0</v>
      </c>
      <c r="W229" s="11" t="n">
        <v>0</v>
      </c>
      <c r="X229" s="11" t="n">
        <v>0</v>
      </c>
      <c r="Y229" s="11" t="n">
        <v>0</v>
      </c>
      <c r="Z229" s="11" t="n">
        <v>450</v>
      </c>
      <c r="AA229" s="11" t="n">
        <v>100</v>
      </c>
      <c r="AB229" s="11" t="n">
        <v>40</v>
      </c>
      <c r="AC229" s="11" t="n">
        <v>0</v>
      </c>
      <c r="AD229" s="11" t="n">
        <v>0</v>
      </c>
      <c r="AE229" s="11" t="n">
        <v>0</v>
      </c>
      <c r="AF229" s="11" t="n">
        <v>0</v>
      </c>
      <c r="AG229" s="11" t="n">
        <v>0</v>
      </c>
      <c r="AH229" s="11" t="n">
        <v>1</v>
      </c>
      <c r="AI229" s="11" t="n">
        <v>0</v>
      </c>
      <c r="AJ229" s="11" t="n">
        <v>0</v>
      </c>
      <c r="AK229" s="11" t="n">
        <v>0</v>
      </c>
      <c r="AL229" s="11" t="n">
        <v>0</v>
      </c>
      <c r="AM229" s="11" t="n">
        <v>0</v>
      </c>
      <c r="AN229" s="11" t="n">
        <v>0</v>
      </c>
      <c r="AO229" s="11" t="n">
        <v>0</v>
      </c>
      <c r="AP229" s="11" t="n">
        <v>1</v>
      </c>
      <c r="AQ229" s="11" t="n">
        <v>0</v>
      </c>
      <c r="AR229" s="11" t="n">
        <v>0</v>
      </c>
      <c r="AS229" s="11" t="n">
        <v>0</v>
      </c>
      <c r="AT229" s="11" t="n">
        <v>0</v>
      </c>
      <c r="AU229" s="11" t="n">
        <v>0</v>
      </c>
      <c r="AV229" s="11" t="n">
        <v>0</v>
      </c>
      <c r="AW229" s="11" t="n">
        <v>0</v>
      </c>
      <c r="AX229" s="11" t="n">
        <v>0</v>
      </c>
      <c r="AY229" s="11" t="n">
        <v>0</v>
      </c>
      <c r="AZ229" s="11" t="n">
        <v>0</v>
      </c>
      <c r="BA229" s="11" t="n">
        <v>0</v>
      </c>
      <c r="BB229" s="11" t="n">
        <v>0</v>
      </c>
      <c r="BC229" s="11" t="n">
        <v>0</v>
      </c>
      <c r="BD229" s="11" t="n">
        <v>0</v>
      </c>
      <c r="BE229" s="11" t="n">
        <v>0</v>
      </c>
      <c r="BF229" s="11" t="n">
        <v>0</v>
      </c>
      <c r="BG229" s="11" t="n">
        <v>2</v>
      </c>
      <c r="BH229" s="11" t="n">
        <v>200</v>
      </c>
      <c r="BI229" s="11" t="n">
        <v>0</v>
      </c>
      <c r="BJ229" s="11" t="n">
        <v>0</v>
      </c>
      <c r="BK229" s="11" t="n">
        <v>0</v>
      </c>
      <c r="BL229" s="11" t="n">
        <v>0</v>
      </c>
      <c r="BM229" s="11" t="n">
        <v>0</v>
      </c>
      <c r="BN229" s="11" t="n">
        <v>3</v>
      </c>
      <c r="BO229" s="11" t="n">
        <v>0</v>
      </c>
      <c r="BP229" s="11" t="n">
        <v>0</v>
      </c>
      <c r="BQ229" s="11" t="n">
        <v>0</v>
      </c>
      <c r="BR229" s="11" t="n">
        <v>0</v>
      </c>
      <c r="BS229" s="11" t="n">
        <v>0</v>
      </c>
      <c r="BT229" s="11" t="n">
        <v>0</v>
      </c>
      <c r="BU229" s="11" t="n">
        <v>0</v>
      </c>
      <c r="BV229" s="11" t="n">
        <v>0</v>
      </c>
      <c r="BW229" s="11" t="n">
        <v>0</v>
      </c>
      <c r="BX229" s="11" t="n">
        <v>0</v>
      </c>
      <c r="BY229" s="11" t="n">
        <v>80</v>
      </c>
      <c r="BZ229" s="11" t="n">
        <v>0</v>
      </c>
      <c r="CA229" s="11" t="n">
        <v>0</v>
      </c>
      <c r="CB229" s="11" t="n">
        <v>19</v>
      </c>
      <c r="CC229" s="11" t="n">
        <v>6</v>
      </c>
      <c r="CD229" s="11" t="n">
        <v>0</v>
      </c>
      <c r="CE229" s="11" t="n">
        <v>0</v>
      </c>
    </row>
    <row r="230">
      <c r="A230" s="14" t="inlineStr">
        <is>
          <t>2026-05-21</t>
        </is>
      </c>
      <c r="B230" s="8" t="n">
        <v>0</v>
      </c>
      <c r="C230" s="8" t="n">
        <v>0</v>
      </c>
      <c r="D230" s="8" t="n">
        <v>0</v>
      </c>
      <c r="E230" s="8" t="n">
        <v>0</v>
      </c>
      <c r="F230" s="8" t="n">
        <v>0</v>
      </c>
      <c r="G230" s="8" t="n">
        <v>0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0</v>
      </c>
      <c r="M230" s="8" t="n">
        <v>0</v>
      </c>
      <c r="N230" s="8" t="n">
        <v>0</v>
      </c>
      <c r="O230" s="8" t="n">
        <v>0</v>
      </c>
      <c r="P230" s="8" t="n">
        <v>0</v>
      </c>
      <c r="Q230" s="8" t="n">
        <v>0</v>
      </c>
      <c r="R230" s="8" t="n">
        <v>0</v>
      </c>
      <c r="S230" s="8" t="n">
        <v>20</v>
      </c>
      <c r="T230" s="8" t="n">
        <v>0</v>
      </c>
      <c r="U230" s="8" t="n">
        <v>0</v>
      </c>
      <c r="V230" s="8" t="n">
        <v>0</v>
      </c>
      <c r="W230" s="8" t="n">
        <v>0</v>
      </c>
      <c r="X230" s="8" t="n">
        <v>0</v>
      </c>
      <c r="Y230" s="8" t="n">
        <v>0</v>
      </c>
      <c r="Z230" s="8" t="n">
        <v>450</v>
      </c>
      <c r="AA230" s="8" t="n">
        <v>100</v>
      </c>
      <c r="AB230" s="8" t="n">
        <v>40</v>
      </c>
      <c r="AC230" s="8" t="n">
        <v>0</v>
      </c>
      <c r="AD230" s="8" t="n">
        <v>0</v>
      </c>
      <c r="AE230" s="8" t="n">
        <v>0</v>
      </c>
      <c r="AF230" s="8" t="n">
        <v>0</v>
      </c>
      <c r="AG230" s="8" t="n">
        <v>0</v>
      </c>
      <c r="AH230" s="8" t="n">
        <v>1</v>
      </c>
      <c r="AI230" s="8" t="n">
        <v>0</v>
      </c>
      <c r="AJ230" s="8" t="n">
        <v>0</v>
      </c>
      <c r="AK230" s="8" t="n">
        <v>0</v>
      </c>
      <c r="AL230" s="8" t="n">
        <v>0</v>
      </c>
      <c r="AM230" s="8" t="n">
        <v>0</v>
      </c>
      <c r="AN230" s="8" t="n">
        <v>0</v>
      </c>
      <c r="AO230" s="8" t="n">
        <v>0</v>
      </c>
      <c r="AP230" s="8" t="n">
        <v>1</v>
      </c>
      <c r="AQ230" s="8" t="n">
        <v>0</v>
      </c>
      <c r="AR230" s="8" t="n">
        <v>0</v>
      </c>
      <c r="AS230" s="8" t="n">
        <v>0</v>
      </c>
      <c r="AT230" s="8" t="n">
        <v>0</v>
      </c>
      <c r="AU230" s="8" t="n">
        <v>0</v>
      </c>
      <c r="AV230" s="8" t="n">
        <v>15</v>
      </c>
      <c r="AW230" s="8" t="n">
        <v>0</v>
      </c>
      <c r="AX230" s="8" t="n">
        <v>0</v>
      </c>
      <c r="AY230" s="8" t="n">
        <v>0</v>
      </c>
      <c r="AZ230" s="8" t="n">
        <v>0</v>
      </c>
      <c r="BA230" s="8" t="n">
        <v>0</v>
      </c>
      <c r="BB230" s="8" t="n">
        <v>0</v>
      </c>
      <c r="BC230" s="8" t="n">
        <v>0</v>
      </c>
      <c r="BD230" s="8" t="n">
        <v>0</v>
      </c>
      <c r="BE230" s="8" t="n">
        <v>0</v>
      </c>
      <c r="BF230" s="8" t="n">
        <v>0</v>
      </c>
      <c r="BG230" s="8" t="n">
        <v>2</v>
      </c>
      <c r="BH230" s="8" t="n">
        <v>200</v>
      </c>
      <c r="BI230" s="8" t="n">
        <v>0</v>
      </c>
      <c r="BJ230" s="8" t="n">
        <v>0</v>
      </c>
      <c r="BK230" s="8" t="n">
        <v>5</v>
      </c>
      <c r="BL230" s="8" t="n">
        <v>0</v>
      </c>
      <c r="BM230" s="8" t="n">
        <v>0</v>
      </c>
      <c r="BN230" s="8" t="n">
        <v>3</v>
      </c>
      <c r="BO230" s="8" t="n">
        <v>0</v>
      </c>
      <c r="BP230" s="8" t="n">
        <v>0</v>
      </c>
      <c r="BQ230" s="8" t="n">
        <v>0</v>
      </c>
      <c r="BR230" s="8" t="n">
        <v>0</v>
      </c>
      <c r="BS230" s="8" t="n">
        <v>0</v>
      </c>
      <c r="BT230" s="8" t="n">
        <v>0</v>
      </c>
      <c r="BU230" s="8" t="n">
        <v>0</v>
      </c>
      <c r="BV230" s="8" t="n">
        <v>0</v>
      </c>
      <c r="BW230" s="8" t="n">
        <v>0</v>
      </c>
      <c r="BX230" s="8" t="n">
        <v>0</v>
      </c>
      <c r="BY230" s="8" t="n">
        <v>40</v>
      </c>
      <c r="BZ230" s="8" t="n">
        <v>0</v>
      </c>
      <c r="CA230" s="8" t="n">
        <v>0</v>
      </c>
      <c r="CB230" s="8" t="n">
        <v>19</v>
      </c>
      <c r="CC230" s="8" t="n">
        <v>8</v>
      </c>
      <c r="CD230" s="8" t="n">
        <v>0</v>
      </c>
      <c r="CE230" s="8" t="n">
        <v>0</v>
      </c>
    </row>
    <row r="231">
      <c r="A231" s="15" t="inlineStr">
        <is>
          <t>2026-05-22</t>
        </is>
      </c>
      <c r="B231" s="11" t="n">
        <v>0</v>
      </c>
      <c r="C231" s="11" t="n">
        <v>0</v>
      </c>
      <c r="D231" s="11" t="n">
        <v>0</v>
      </c>
      <c r="E231" s="11" t="n">
        <v>0</v>
      </c>
      <c r="F231" s="11" t="n">
        <v>0</v>
      </c>
      <c r="G231" s="11" t="n">
        <v>0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  <c r="P231" s="11" t="n">
        <v>0</v>
      </c>
      <c r="Q231" s="11" t="n">
        <v>0</v>
      </c>
      <c r="R231" s="11" t="n">
        <v>0</v>
      </c>
      <c r="S231" s="11" t="n">
        <v>20</v>
      </c>
      <c r="T231" s="11" t="n">
        <v>0</v>
      </c>
      <c r="U231" s="11" t="n">
        <v>0</v>
      </c>
      <c r="V231" s="11" t="n">
        <v>0</v>
      </c>
      <c r="W231" s="11" t="n">
        <v>0</v>
      </c>
      <c r="X231" s="11" t="n">
        <v>0</v>
      </c>
      <c r="Y231" s="11" t="n">
        <v>0</v>
      </c>
      <c r="Z231" s="11" t="n">
        <v>450</v>
      </c>
      <c r="AA231" s="11" t="n">
        <v>100</v>
      </c>
      <c r="AB231" s="11" t="n">
        <v>40</v>
      </c>
      <c r="AC231" s="11" t="n">
        <v>0</v>
      </c>
      <c r="AD231" s="11" t="n">
        <v>0</v>
      </c>
      <c r="AE231" s="11" t="n">
        <v>0</v>
      </c>
      <c r="AF231" s="11" t="n">
        <v>0</v>
      </c>
      <c r="AG231" s="11" t="n">
        <v>0</v>
      </c>
      <c r="AH231" s="11" t="n">
        <v>1</v>
      </c>
      <c r="AI231" s="11" t="n">
        <v>0</v>
      </c>
      <c r="AJ231" s="11" t="n">
        <v>0</v>
      </c>
      <c r="AK231" s="11" t="n">
        <v>0</v>
      </c>
      <c r="AL231" s="11" t="n">
        <v>0</v>
      </c>
      <c r="AM231" s="11" t="n">
        <v>0</v>
      </c>
      <c r="AN231" s="11" t="n">
        <v>0</v>
      </c>
      <c r="AO231" s="11" t="n">
        <v>0</v>
      </c>
      <c r="AP231" s="11" t="n">
        <v>1</v>
      </c>
      <c r="AQ231" s="11" t="n">
        <v>0</v>
      </c>
      <c r="AR231" s="11" t="n">
        <v>0</v>
      </c>
      <c r="AS231" s="11" t="n">
        <v>0</v>
      </c>
      <c r="AT231" s="11" t="n">
        <v>1</v>
      </c>
      <c r="AU231" s="11" t="n">
        <v>0</v>
      </c>
      <c r="AV231" s="11" t="n">
        <v>15</v>
      </c>
      <c r="AW231" s="11" t="n">
        <v>0</v>
      </c>
      <c r="AX231" s="11" t="n">
        <v>0</v>
      </c>
      <c r="AY231" s="11" t="n">
        <v>0</v>
      </c>
      <c r="AZ231" s="11" t="n">
        <v>0</v>
      </c>
      <c r="BA231" s="11" t="n">
        <v>0</v>
      </c>
      <c r="BB231" s="11" t="n">
        <v>0</v>
      </c>
      <c r="BC231" s="11" t="n">
        <v>0</v>
      </c>
      <c r="BD231" s="11" t="n">
        <v>0</v>
      </c>
      <c r="BE231" s="11" t="n">
        <v>0</v>
      </c>
      <c r="BF231" s="11" t="n">
        <v>0</v>
      </c>
      <c r="BG231" s="11" t="n">
        <v>2</v>
      </c>
      <c r="BH231" s="11" t="n">
        <v>200</v>
      </c>
      <c r="BI231" s="11" t="n">
        <v>0</v>
      </c>
      <c r="BJ231" s="11" t="n">
        <v>0</v>
      </c>
      <c r="BK231" s="11" t="n">
        <v>5</v>
      </c>
      <c r="BL231" s="11" t="n">
        <v>0</v>
      </c>
      <c r="BM231" s="11" t="n">
        <v>0</v>
      </c>
      <c r="BN231" s="11" t="n">
        <v>3</v>
      </c>
      <c r="BO231" s="11" t="n">
        <v>0</v>
      </c>
      <c r="BP231" s="11" t="n">
        <v>0</v>
      </c>
      <c r="BQ231" s="11" t="n">
        <v>0</v>
      </c>
      <c r="BR231" s="11" t="n">
        <v>0</v>
      </c>
      <c r="BS231" s="11" t="n">
        <v>0</v>
      </c>
      <c r="BT231" s="11" t="n">
        <v>0</v>
      </c>
      <c r="BU231" s="11" t="n">
        <v>0</v>
      </c>
      <c r="BV231" s="11" t="n">
        <v>0</v>
      </c>
      <c r="BW231" s="11" t="n">
        <v>0</v>
      </c>
      <c r="BX231" s="11" t="n">
        <v>0</v>
      </c>
      <c r="BY231" s="11" t="n">
        <v>40</v>
      </c>
      <c r="BZ231" s="11" t="n">
        <v>0</v>
      </c>
      <c r="CA231" s="11" t="n">
        <v>0</v>
      </c>
      <c r="CB231" s="11" t="n">
        <v>19</v>
      </c>
      <c r="CC231" s="11" t="n">
        <v>8</v>
      </c>
      <c r="CD231" s="11" t="n">
        <v>0</v>
      </c>
      <c r="CE231" s="11" t="n">
        <v>0</v>
      </c>
    </row>
    <row r="232">
      <c r="A232" s="14" t="inlineStr">
        <is>
          <t>2026-05-25</t>
        </is>
      </c>
      <c r="B232" s="8" t="n">
        <v>0</v>
      </c>
      <c r="C232" s="8" t="n">
        <v>0</v>
      </c>
      <c r="D232" s="8" t="n">
        <v>0</v>
      </c>
      <c r="E232" s="8" t="n">
        <v>0</v>
      </c>
      <c r="F232" s="8" t="n">
        <v>0</v>
      </c>
      <c r="G232" s="8" t="n">
        <v>0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0</v>
      </c>
      <c r="M232" s="8" t="n">
        <v>0</v>
      </c>
      <c r="N232" s="8" t="n">
        <v>0</v>
      </c>
      <c r="O232" s="8" t="n">
        <v>0</v>
      </c>
      <c r="P232" s="8" t="n">
        <v>0</v>
      </c>
      <c r="Q232" s="8" t="n">
        <v>0</v>
      </c>
      <c r="R232" s="8" t="n">
        <v>0</v>
      </c>
      <c r="S232" s="8" t="n">
        <v>20</v>
      </c>
      <c r="T232" s="8" t="n">
        <v>0</v>
      </c>
      <c r="U232" s="8" t="n">
        <v>0</v>
      </c>
      <c r="V232" s="8" t="n">
        <v>0</v>
      </c>
      <c r="W232" s="8" t="n">
        <v>0</v>
      </c>
      <c r="X232" s="8" t="n">
        <v>0</v>
      </c>
      <c r="Y232" s="8" t="n">
        <v>0</v>
      </c>
      <c r="Z232" s="8" t="n">
        <v>950</v>
      </c>
      <c r="AA232" s="8" t="n">
        <v>300</v>
      </c>
      <c r="AB232" s="8" t="n">
        <v>120</v>
      </c>
      <c r="AC232" s="8" t="n">
        <v>0</v>
      </c>
      <c r="AD232" s="8" t="n">
        <v>0</v>
      </c>
      <c r="AE232" s="8" t="n">
        <v>0</v>
      </c>
      <c r="AF232" s="8" t="n">
        <v>0</v>
      </c>
      <c r="AG232" s="8" t="n">
        <v>0</v>
      </c>
      <c r="AH232" s="8" t="n">
        <v>1</v>
      </c>
      <c r="AI232" s="8" t="n">
        <v>0</v>
      </c>
      <c r="AJ232" s="8" t="n">
        <v>0</v>
      </c>
      <c r="AK232" s="8" t="n">
        <v>0</v>
      </c>
      <c r="AL232" s="8" t="n">
        <v>0</v>
      </c>
      <c r="AM232" s="8" t="n">
        <v>0</v>
      </c>
      <c r="AN232" s="8" t="n">
        <v>0</v>
      </c>
      <c r="AO232" s="8" t="n">
        <v>0</v>
      </c>
      <c r="AP232" s="8" t="n">
        <v>1</v>
      </c>
      <c r="AQ232" s="8" t="n">
        <v>0</v>
      </c>
      <c r="AR232" s="8" t="n">
        <v>0</v>
      </c>
      <c r="AS232" s="8" t="n">
        <v>0</v>
      </c>
      <c r="AT232" s="8" t="n">
        <v>1</v>
      </c>
      <c r="AU232" s="8" t="n">
        <v>0</v>
      </c>
      <c r="AV232" s="8" t="n">
        <v>15</v>
      </c>
      <c r="AW232" s="8" t="n">
        <v>0</v>
      </c>
      <c r="AX232" s="8" t="n">
        <v>0</v>
      </c>
      <c r="AY232" s="8" t="n">
        <v>0</v>
      </c>
      <c r="AZ232" s="8" t="n">
        <v>0</v>
      </c>
      <c r="BA232" s="8" t="n">
        <v>0</v>
      </c>
      <c r="BB232" s="8" t="n">
        <v>0</v>
      </c>
      <c r="BC232" s="8" t="n">
        <v>0</v>
      </c>
      <c r="BD232" s="8" t="n">
        <v>0</v>
      </c>
      <c r="BE232" s="8" t="n">
        <v>0</v>
      </c>
      <c r="BF232" s="8" t="n">
        <v>0</v>
      </c>
      <c r="BG232" s="8" t="n">
        <v>2</v>
      </c>
      <c r="BH232" s="8" t="n">
        <v>400</v>
      </c>
      <c r="BI232" s="8" t="n">
        <v>0</v>
      </c>
      <c r="BJ232" s="8" t="n">
        <v>0</v>
      </c>
      <c r="BK232" s="8" t="n">
        <v>5</v>
      </c>
      <c r="BL232" s="8" t="n">
        <v>0</v>
      </c>
      <c r="BM232" s="8" t="n">
        <v>0</v>
      </c>
      <c r="BN232" s="8" t="n">
        <v>3</v>
      </c>
      <c r="BO232" s="8" t="n">
        <v>0</v>
      </c>
      <c r="BP232" s="8" t="n">
        <v>0</v>
      </c>
      <c r="BQ232" s="8" t="n">
        <v>0</v>
      </c>
      <c r="BR232" s="8" t="n">
        <v>0</v>
      </c>
      <c r="BS232" s="8" t="n">
        <v>0</v>
      </c>
      <c r="BT232" s="8" t="n">
        <v>0</v>
      </c>
      <c r="BU232" s="8" t="n">
        <v>0</v>
      </c>
      <c r="BV232" s="8" t="n">
        <v>0</v>
      </c>
      <c r="BW232" s="8" t="n">
        <v>0</v>
      </c>
      <c r="BX232" s="8" t="n">
        <v>0</v>
      </c>
      <c r="BY232" s="8" t="n">
        <v>40</v>
      </c>
      <c r="BZ232" s="8" t="n">
        <v>0</v>
      </c>
      <c r="CA232" s="8" t="n">
        <v>0</v>
      </c>
      <c r="CB232" s="8" t="n">
        <v>19</v>
      </c>
      <c r="CC232" s="8" t="n">
        <v>8</v>
      </c>
      <c r="CD232" s="8" t="n">
        <v>0</v>
      </c>
      <c r="CE232" s="8" t="n">
        <v>0</v>
      </c>
    </row>
    <row r="233">
      <c r="A233" s="15" t="inlineStr">
        <is>
          <t>2026-05-26</t>
        </is>
      </c>
      <c r="B233" s="11" t="n">
        <v>0</v>
      </c>
      <c r="C233" s="11" t="n">
        <v>5</v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0</v>
      </c>
      <c r="P233" s="11" t="n">
        <v>0</v>
      </c>
      <c r="Q233" s="11" t="n">
        <v>0</v>
      </c>
      <c r="R233" s="11" t="n">
        <v>3</v>
      </c>
      <c r="S233" s="11" t="n">
        <v>0</v>
      </c>
      <c r="T233" s="11" t="n">
        <v>0</v>
      </c>
      <c r="U233" s="11" t="n">
        <v>0</v>
      </c>
      <c r="V233" s="11" t="n">
        <v>0</v>
      </c>
      <c r="W233" s="11" t="n">
        <v>0</v>
      </c>
      <c r="X233" s="11" t="n">
        <v>0</v>
      </c>
      <c r="Y233" s="11" t="n">
        <v>0</v>
      </c>
      <c r="Z233" s="11" t="n">
        <v>950</v>
      </c>
      <c r="AA233" s="11" t="n">
        <v>300</v>
      </c>
      <c r="AB233" s="11" t="n">
        <v>120</v>
      </c>
      <c r="AC233" s="11" t="n">
        <v>0</v>
      </c>
      <c r="AD233" s="11" t="n">
        <v>0</v>
      </c>
      <c r="AE233" s="11" t="n">
        <v>0</v>
      </c>
      <c r="AF233" s="11" t="n">
        <v>0</v>
      </c>
      <c r="AG233" s="11" t="n">
        <v>2</v>
      </c>
      <c r="AH233" s="11" t="n">
        <v>1</v>
      </c>
      <c r="AI233" s="11" t="n">
        <v>0</v>
      </c>
      <c r="AJ233" s="11" t="n">
        <v>0</v>
      </c>
      <c r="AK233" s="11" t="n">
        <v>0</v>
      </c>
      <c r="AL233" s="11" t="n">
        <v>0</v>
      </c>
      <c r="AM233" s="11" t="n">
        <v>0</v>
      </c>
      <c r="AN233" s="11" t="n">
        <v>0</v>
      </c>
      <c r="AO233" s="11" t="n">
        <v>0</v>
      </c>
      <c r="AP233" s="11" t="n">
        <v>1</v>
      </c>
      <c r="AQ233" s="11" t="n">
        <v>0</v>
      </c>
      <c r="AR233" s="11" t="n">
        <v>0</v>
      </c>
      <c r="AS233" s="11" t="n">
        <v>0</v>
      </c>
      <c r="AT233" s="11" t="n">
        <v>1</v>
      </c>
      <c r="AU233" s="11" t="n">
        <v>0</v>
      </c>
      <c r="AV233" s="11" t="n">
        <v>15</v>
      </c>
      <c r="AW233" s="11" t="n">
        <v>0</v>
      </c>
      <c r="AX233" s="11" t="n">
        <v>0</v>
      </c>
      <c r="AY233" s="11" t="n">
        <v>0</v>
      </c>
      <c r="AZ233" s="11" t="n">
        <v>0</v>
      </c>
      <c r="BA233" s="11" t="n">
        <v>0</v>
      </c>
      <c r="BB233" s="11" t="n">
        <v>0</v>
      </c>
      <c r="BC233" s="11" t="n">
        <v>0</v>
      </c>
      <c r="BD233" s="11" t="n">
        <v>0</v>
      </c>
      <c r="BE233" s="11" t="n">
        <v>0</v>
      </c>
      <c r="BF233" s="11" t="n">
        <v>0</v>
      </c>
      <c r="BG233" s="11" t="n">
        <v>2</v>
      </c>
      <c r="BH233" s="11" t="n">
        <v>400</v>
      </c>
      <c r="BI233" s="11" t="n">
        <v>0</v>
      </c>
      <c r="BJ233" s="11" t="n">
        <v>0</v>
      </c>
      <c r="BK233" s="11" t="n">
        <v>7</v>
      </c>
      <c r="BL233" s="11" t="n">
        <v>0</v>
      </c>
      <c r="BM233" s="11" t="n">
        <v>8</v>
      </c>
      <c r="BN233" s="11" t="n">
        <v>3</v>
      </c>
      <c r="BO233" s="11" t="n">
        <v>0</v>
      </c>
      <c r="BP233" s="11" t="n">
        <v>0</v>
      </c>
      <c r="BQ233" s="11" t="n">
        <v>0</v>
      </c>
      <c r="BR233" s="11" t="n">
        <v>0</v>
      </c>
      <c r="BS233" s="11" t="n">
        <v>0</v>
      </c>
      <c r="BT233" s="11" t="n">
        <v>0</v>
      </c>
      <c r="BU233" s="11" t="n">
        <v>0</v>
      </c>
      <c r="BV233" s="11" t="n">
        <v>0</v>
      </c>
      <c r="BW233" s="11" t="n">
        <v>5</v>
      </c>
      <c r="BX233" s="11" t="n">
        <v>0</v>
      </c>
      <c r="BY233" s="11" t="n">
        <v>40</v>
      </c>
      <c r="BZ233" s="11" t="n">
        <v>0</v>
      </c>
      <c r="CA233" s="11" t="n">
        <v>0</v>
      </c>
      <c r="CB233" s="11" t="n">
        <v>0</v>
      </c>
      <c r="CC233" s="11" t="n">
        <v>8</v>
      </c>
      <c r="CD233" s="11" t="n">
        <v>0</v>
      </c>
      <c r="CE233" s="11" t="n">
        <v>0</v>
      </c>
    </row>
    <row r="234">
      <c r="A234" s="14" t="inlineStr">
        <is>
          <t>2026-05-27</t>
        </is>
      </c>
      <c r="B234" s="8" t="n">
        <v>0</v>
      </c>
      <c r="C234" s="8" t="n">
        <v>5</v>
      </c>
      <c r="D234" s="8" t="n">
        <v>0</v>
      </c>
      <c r="E234" s="8" t="n">
        <v>0</v>
      </c>
      <c r="F234" s="8" t="n">
        <v>0</v>
      </c>
      <c r="G234" s="8" t="n">
        <v>0</v>
      </c>
      <c r="H234" s="8" t="n">
        <v>0</v>
      </c>
      <c r="I234" s="8" t="n">
        <v>0</v>
      </c>
      <c r="J234" s="8" t="n">
        <v>0</v>
      </c>
      <c r="K234" s="8" t="n">
        <v>0</v>
      </c>
      <c r="L234" s="8" t="n">
        <v>0</v>
      </c>
      <c r="M234" s="8" t="n">
        <v>0</v>
      </c>
      <c r="N234" s="8" t="n">
        <v>0</v>
      </c>
      <c r="O234" s="8" t="n">
        <v>0</v>
      </c>
      <c r="P234" s="8" t="n">
        <v>0</v>
      </c>
      <c r="Q234" s="8" t="n">
        <v>0</v>
      </c>
      <c r="R234" s="8" t="n">
        <v>3</v>
      </c>
      <c r="S234" s="8" t="n">
        <v>0</v>
      </c>
      <c r="T234" s="8" t="n">
        <v>0</v>
      </c>
      <c r="U234" s="8" t="n">
        <v>0</v>
      </c>
      <c r="V234" s="8" t="n">
        <v>0</v>
      </c>
      <c r="W234" s="8" t="n">
        <v>0</v>
      </c>
      <c r="X234" s="8" t="n">
        <v>0</v>
      </c>
      <c r="Y234" s="8" t="n">
        <v>0</v>
      </c>
      <c r="Z234" s="8" t="n">
        <v>950</v>
      </c>
      <c r="AA234" s="8" t="n">
        <v>300</v>
      </c>
      <c r="AB234" s="8" t="n">
        <v>120</v>
      </c>
      <c r="AC234" s="8" t="n">
        <v>0</v>
      </c>
      <c r="AD234" s="8" t="n">
        <v>0</v>
      </c>
      <c r="AE234" s="8" t="n">
        <v>0</v>
      </c>
      <c r="AF234" s="8" t="n">
        <v>0</v>
      </c>
      <c r="AG234" s="8" t="n">
        <v>2</v>
      </c>
      <c r="AH234" s="8" t="n">
        <v>1</v>
      </c>
      <c r="AI234" s="8" t="n">
        <v>0</v>
      </c>
      <c r="AJ234" s="8" t="n">
        <v>0</v>
      </c>
      <c r="AK234" s="8" t="n">
        <v>0</v>
      </c>
      <c r="AL234" s="8" t="n">
        <v>0</v>
      </c>
      <c r="AM234" s="8" t="n">
        <v>0</v>
      </c>
      <c r="AN234" s="8" t="n">
        <v>0</v>
      </c>
      <c r="AO234" s="8" t="n">
        <v>0</v>
      </c>
      <c r="AP234" s="8" t="n">
        <v>1</v>
      </c>
      <c r="AQ234" s="8" t="n">
        <v>0</v>
      </c>
      <c r="AR234" s="8" t="n">
        <v>0</v>
      </c>
      <c r="AS234" s="8" t="n">
        <v>0</v>
      </c>
      <c r="AT234" s="8" t="n">
        <v>1</v>
      </c>
      <c r="AU234" s="8" t="n">
        <v>0</v>
      </c>
      <c r="AV234" s="8" t="n">
        <v>15</v>
      </c>
      <c r="AW234" s="8" t="n">
        <v>0</v>
      </c>
      <c r="AX234" s="8" t="n">
        <v>0</v>
      </c>
      <c r="AY234" s="8" t="n">
        <v>0</v>
      </c>
      <c r="AZ234" s="8" t="n">
        <v>0</v>
      </c>
      <c r="BA234" s="8" t="n">
        <v>0</v>
      </c>
      <c r="BB234" s="8" t="n">
        <v>0</v>
      </c>
      <c r="BC234" s="8" t="n">
        <v>0</v>
      </c>
      <c r="BD234" s="8" t="n">
        <v>0</v>
      </c>
      <c r="BE234" s="8" t="n">
        <v>0</v>
      </c>
      <c r="BF234" s="8" t="n">
        <v>0</v>
      </c>
      <c r="BG234" s="8" t="n">
        <v>2</v>
      </c>
      <c r="BH234" s="8" t="n">
        <v>400</v>
      </c>
      <c r="BI234" s="8" t="n">
        <v>0</v>
      </c>
      <c r="BJ234" s="8" t="n">
        <v>0</v>
      </c>
      <c r="BK234" s="8" t="n">
        <v>7</v>
      </c>
      <c r="BL234" s="8" t="n">
        <v>0</v>
      </c>
      <c r="BM234" s="8" t="n">
        <v>8</v>
      </c>
      <c r="BN234" s="8" t="n">
        <v>3</v>
      </c>
      <c r="BO234" s="8" t="n">
        <v>0</v>
      </c>
      <c r="BP234" s="8" t="n">
        <v>0</v>
      </c>
      <c r="BQ234" s="8" t="n">
        <v>0</v>
      </c>
      <c r="BR234" s="8" t="n">
        <v>0</v>
      </c>
      <c r="BS234" s="8" t="n">
        <v>0</v>
      </c>
      <c r="BT234" s="8" t="n">
        <v>0</v>
      </c>
      <c r="BU234" s="8" t="n">
        <v>0</v>
      </c>
      <c r="BV234" s="8" t="n">
        <v>0</v>
      </c>
      <c r="BW234" s="8" t="n">
        <v>5</v>
      </c>
      <c r="BX234" s="8" t="n">
        <v>0</v>
      </c>
      <c r="BY234" s="8" t="n">
        <v>40</v>
      </c>
      <c r="BZ234" s="8" t="n">
        <v>0</v>
      </c>
      <c r="CA234" s="8" t="n">
        <v>0</v>
      </c>
      <c r="CB234" s="8" t="n">
        <v>0</v>
      </c>
      <c r="CC234" s="8" t="n">
        <v>8</v>
      </c>
      <c r="CD234" s="8" t="n">
        <v>0</v>
      </c>
      <c r="CE234" s="8" t="n">
        <v>0</v>
      </c>
    </row>
    <row r="235">
      <c r="A235" s="15" t="inlineStr">
        <is>
          <t>2026-05-28</t>
        </is>
      </c>
      <c r="B235" s="11" t="n">
        <v>0</v>
      </c>
      <c r="C235" s="11" t="n">
        <v>5</v>
      </c>
      <c r="D235" s="11" t="n">
        <v>0</v>
      </c>
      <c r="E235" s="11" t="n">
        <v>0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  <c r="P235" s="11" t="n">
        <v>0</v>
      </c>
      <c r="Q235" s="11" t="n">
        <v>0</v>
      </c>
      <c r="R235" s="11" t="n">
        <v>4</v>
      </c>
      <c r="S235" s="11" t="n">
        <v>0</v>
      </c>
      <c r="T235" s="11" t="n">
        <v>0</v>
      </c>
      <c r="U235" s="11" t="n">
        <v>0</v>
      </c>
      <c r="V235" s="11" t="n">
        <v>0</v>
      </c>
      <c r="W235" s="11" t="n">
        <v>0</v>
      </c>
      <c r="X235" s="11" t="n">
        <v>0</v>
      </c>
      <c r="Y235" s="11" t="n">
        <v>0</v>
      </c>
      <c r="Z235" s="11" t="n">
        <v>950</v>
      </c>
      <c r="AA235" s="11" t="n">
        <v>300</v>
      </c>
      <c r="AB235" s="11" t="n">
        <v>120</v>
      </c>
      <c r="AC235" s="11" t="n">
        <v>0</v>
      </c>
      <c r="AD235" s="11" t="n">
        <v>0</v>
      </c>
      <c r="AE235" s="11" t="n">
        <v>0</v>
      </c>
      <c r="AF235" s="11" t="n">
        <v>0</v>
      </c>
      <c r="AG235" s="11" t="n">
        <v>3</v>
      </c>
      <c r="AH235" s="11" t="n">
        <v>1</v>
      </c>
      <c r="AI235" s="11" t="n">
        <v>0</v>
      </c>
      <c r="AJ235" s="11" t="n">
        <v>0</v>
      </c>
      <c r="AK235" s="11" t="n">
        <v>0</v>
      </c>
      <c r="AL235" s="11" t="n">
        <v>0</v>
      </c>
      <c r="AM235" s="11" t="n">
        <v>0</v>
      </c>
      <c r="AN235" s="11" t="n">
        <v>0</v>
      </c>
      <c r="AO235" s="11" t="n">
        <v>0</v>
      </c>
      <c r="AP235" s="11" t="n">
        <v>1</v>
      </c>
      <c r="AQ235" s="11" t="n">
        <v>0</v>
      </c>
      <c r="AR235" s="11" t="n">
        <v>0</v>
      </c>
      <c r="AS235" s="11" t="n">
        <v>0</v>
      </c>
      <c r="AT235" s="11" t="n">
        <v>1</v>
      </c>
      <c r="AU235" s="11" t="n">
        <v>0</v>
      </c>
      <c r="AV235" s="11" t="n">
        <v>15</v>
      </c>
      <c r="AW235" s="11" t="n">
        <v>0</v>
      </c>
      <c r="AX235" s="11" t="n">
        <v>0</v>
      </c>
      <c r="AY235" s="11" t="n">
        <v>0</v>
      </c>
      <c r="AZ235" s="11" t="n">
        <v>0</v>
      </c>
      <c r="BA235" s="11" t="n">
        <v>0</v>
      </c>
      <c r="BB235" s="11" t="n">
        <v>0</v>
      </c>
      <c r="BC235" s="11" t="n">
        <v>0</v>
      </c>
      <c r="BD235" s="11" t="n">
        <v>3</v>
      </c>
      <c r="BE235" s="11" t="n">
        <v>0</v>
      </c>
      <c r="BF235" s="11" t="n">
        <v>1</v>
      </c>
      <c r="BG235" s="11" t="n">
        <v>2</v>
      </c>
      <c r="BH235" s="11" t="n">
        <v>400</v>
      </c>
      <c r="BI235" s="11" t="n">
        <v>0</v>
      </c>
      <c r="BJ235" s="11" t="n">
        <v>0</v>
      </c>
      <c r="BK235" s="11" t="n">
        <v>7</v>
      </c>
      <c r="BL235" s="11" t="n">
        <v>0</v>
      </c>
      <c r="BM235" s="11" t="n">
        <v>16</v>
      </c>
      <c r="BN235" s="11" t="n">
        <v>3</v>
      </c>
      <c r="BO235" s="11" t="n">
        <v>0</v>
      </c>
      <c r="BP235" s="11" t="n">
        <v>0</v>
      </c>
      <c r="BQ235" s="11" t="n">
        <v>0</v>
      </c>
      <c r="BR235" s="11" t="n">
        <v>0</v>
      </c>
      <c r="BS235" s="11" t="n">
        <v>0</v>
      </c>
      <c r="BT235" s="11" t="n">
        <v>0</v>
      </c>
      <c r="BU235" s="11" t="n">
        <v>0</v>
      </c>
      <c r="BV235" s="11" t="n">
        <v>0</v>
      </c>
      <c r="BW235" s="11" t="n">
        <v>5</v>
      </c>
      <c r="BX235" s="11" t="n">
        <v>0</v>
      </c>
      <c r="BY235" s="11" t="n">
        <v>40</v>
      </c>
      <c r="BZ235" s="11" t="n">
        <v>0</v>
      </c>
      <c r="CA235" s="11" t="n">
        <v>0</v>
      </c>
      <c r="CB235" s="11" t="n">
        <v>0</v>
      </c>
      <c r="CC235" s="11" t="n">
        <v>8</v>
      </c>
      <c r="CD235" s="11" t="n">
        <v>0</v>
      </c>
      <c r="CE235" s="11" t="n">
        <v>0</v>
      </c>
    </row>
    <row r="236">
      <c r="A236" s="14" t="inlineStr">
        <is>
          <t>2026-05-29</t>
        </is>
      </c>
      <c r="B236" s="8" t="n">
        <v>0</v>
      </c>
      <c r="C236" s="8" t="n">
        <v>5</v>
      </c>
      <c r="D236" s="8" t="n">
        <v>0</v>
      </c>
      <c r="E236" s="8" t="n">
        <v>0</v>
      </c>
      <c r="F236" s="8" t="n">
        <v>0</v>
      </c>
      <c r="G236" s="8" t="n">
        <v>0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0</v>
      </c>
      <c r="M236" s="8" t="n">
        <v>0</v>
      </c>
      <c r="N236" s="8" t="n">
        <v>0</v>
      </c>
      <c r="O236" s="8" t="n">
        <v>0</v>
      </c>
      <c r="P236" s="8" t="n">
        <v>0</v>
      </c>
      <c r="Q236" s="8" t="n">
        <v>0</v>
      </c>
      <c r="R236" s="8" t="n">
        <v>4</v>
      </c>
      <c r="S236" s="8" t="n">
        <v>0</v>
      </c>
      <c r="T236" s="8" t="n">
        <v>0</v>
      </c>
      <c r="U236" s="8" t="n">
        <v>0</v>
      </c>
      <c r="V236" s="8" t="n">
        <v>0</v>
      </c>
      <c r="W236" s="8" t="n">
        <v>0</v>
      </c>
      <c r="X236" s="8" t="n">
        <v>0</v>
      </c>
      <c r="Y236" s="8" t="n">
        <v>0</v>
      </c>
      <c r="Z236" s="8" t="n">
        <v>950</v>
      </c>
      <c r="AA236" s="8" t="n">
        <v>300</v>
      </c>
      <c r="AB236" s="8" t="n">
        <v>120</v>
      </c>
      <c r="AC236" s="8" t="n">
        <v>0</v>
      </c>
      <c r="AD236" s="8" t="n">
        <v>0</v>
      </c>
      <c r="AE236" s="8" t="n">
        <v>0</v>
      </c>
      <c r="AF236" s="8" t="n">
        <v>0</v>
      </c>
      <c r="AG236" s="8" t="n">
        <v>3</v>
      </c>
      <c r="AH236" s="8" t="n">
        <v>1</v>
      </c>
      <c r="AI236" s="8" t="n">
        <v>0</v>
      </c>
      <c r="AJ236" s="8" t="n">
        <v>0</v>
      </c>
      <c r="AK236" s="8" t="n">
        <v>0</v>
      </c>
      <c r="AL236" s="8" t="n">
        <v>0</v>
      </c>
      <c r="AM236" s="8" t="n">
        <v>0</v>
      </c>
      <c r="AN236" s="8" t="n">
        <v>0</v>
      </c>
      <c r="AO236" s="8" t="n">
        <v>0</v>
      </c>
      <c r="AP236" s="8" t="n">
        <v>1</v>
      </c>
      <c r="AQ236" s="8" t="n">
        <v>0</v>
      </c>
      <c r="AR236" s="8" t="n">
        <v>0</v>
      </c>
      <c r="AS236" s="8" t="n">
        <v>0</v>
      </c>
      <c r="AT236" s="8" t="n">
        <v>1</v>
      </c>
      <c r="AU236" s="8" t="n">
        <v>0</v>
      </c>
      <c r="AV236" s="8" t="n">
        <v>15</v>
      </c>
      <c r="AW236" s="8" t="n">
        <v>0</v>
      </c>
      <c r="AX236" s="8" t="n">
        <v>0</v>
      </c>
      <c r="AY236" s="8" t="n">
        <v>0</v>
      </c>
      <c r="AZ236" s="8" t="n">
        <v>0</v>
      </c>
      <c r="BA236" s="8" t="n">
        <v>0</v>
      </c>
      <c r="BB236" s="8" t="n">
        <v>0</v>
      </c>
      <c r="BC236" s="8" t="n">
        <v>0</v>
      </c>
      <c r="BD236" s="8" t="n">
        <v>3</v>
      </c>
      <c r="BE236" s="8" t="n">
        <v>0</v>
      </c>
      <c r="BF236" s="8" t="n">
        <v>1</v>
      </c>
      <c r="BG236" s="8" t="n">
        <v>2</v>
      </c>
      <c r="BH236" s="8" t="n">
        <v>400</v>
      </c>
      <c r="BI236" s="8" t="n">
        <v>0</v>
      </c>
      <c r="BJ236" s="8" t="n">
        <v>0</v>
      </c>
      <c r="BK236" s="8" t="n">
        <v>7</v>
      </c>
      <c r="BL236" s="8" t="n">
        <v>0</v>
      </c>
      <c r="BM236" s="8" t="n">
        <v>16</v>
      </c>
      <c r="BN236" s="8" t="n">
        <v>3</v>
      </c>
      <c r="BO236" s="8" t="n">
        <v>0</v>
      </c>
      <c r="BP236" s="8" t="n">
        <v>0</v>
      </c>
      <c r="BQ236" s="8" t="n">
        <v>0</v>
      </c>
      <c r="BR236" s="8" t="n">
        <v>0</v>
      </c>
      <c r="BS236" s="8" t="n">
        <v>0</v>
      </c>
      <c r="BT236" s="8" t="n">
        <v>0</v>
      </c>
      <c r="BU236" s="8" t="n">
        <v>0</v>
      </c>
      <c r="BV236" s="8" t="n">
        <v>0</v>
      </c>
      <c r="BW236" s="8" t="n">
        <v>5</v>
      </c>
      <c r="BX236" s="8" t="n">
        <v>0</v>
      </c>
      <c r="BY236" s="8" t="n">
        <v>40</v>
      </c>
      <c r="BZ236" s="8" t="n">
        <v>0</v>
      </c>
      <c r="CA236" s="8" t="n">
        <v>0</v>
      </c>
      <c r="CB236" s="8" t="n">
        <v>0</v>
      </c>
      <c r="CC236" s="8" t="n">
        <v>8</v>
      </c>
      <c r="CD236" s="8" t="n">
        <v>0</v>
      </c>
      <c r="CE236" s="8" t="n">
        <v>0</v>
      </c>
    </row>
    <row r="237">
      <c r="A237" s="15" t="inlineStr">
        <is>
          <t>2026-06-01</t>
        </is>
      </c>
      <c r="B237" s="11" t="n">
        <v>0</v>
      </c>
      <c r="C237" s="11" t="n">
        <v>5</v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  <c r="P237" s="11" t="n">
        <v>0</v>
      </c>
      <c r="Q237" s="11" t="n">
        <v>0</v>
      </c>
      <c r="R237" s="11" t="n">
        <v>4</v>
      </c>
      <c r="S237" s="11" t="n">
        <v>0</v>
      </c>
      <c r="T237" s="11" t="n">
        <v>0</v>
      </c>
      <c r="U237" s="11" t="n">
        <v>0</v>
      </c>
      <c r="V237" s="11" t="n">
        <v>0</v>
      </c>
      <c r="W237" s="11" t="n">
        <v>0</v>
      </c>
      <c r="X237" s="11" t="n">
        <v>0</v>
      </c>
      <c r="Y237" s="11" t="n">
        <v>0</v>
      </c>
      <c r="Z237" s="11" t="n">
        <v>950</v>
      </c>
      <c r="AA237" s="11" t="n">
        <v>300</v>
      </c>
      <c r="AB237" s="11" t="n">
        <v>120</v>
      </c>
      <c r="AC237" s="11" t="n">
        <v>0</v>
      </c>
      <c r="AD237" s="11" t="n">
        <v>0</v>
      </c>
      <c r="AE237" s="11" t="n">
        <v>0</v>
      </c>
      <c r="AF237" s="11" t="n">
        <v>0</v>
      </c>
      <c r="AG237" s="11" t="n">
        <v>3</v>
      </c>
      <c r="AH237" s="11" t="n">
        <v>1</v>
      </c>
      <c r="AI237" s="11" t="n">
        <v>0</v>
      </c>
      <c r="AJ237" s="11" t="n">
        <v>0</v>
      </c>
      <c r="AK237" s="11" t="n">
        <v>0</v>
      </c>
      <c r="AL237" s="11" t="n">
        <v>0</v>
      </c>
      <c r="AM237" s="11" t="n">
        <v>0</v>
      </c>
      <c r="AN237" s="11" t="n">
        <v>0</v>
      </c>
      <c r="AO237" s="11" t="n">
        <v>0</v>
      </c>
      <c r="AP237" s="11" t="n">
        <v>1</v>
      </c>
      <c r="AQ237" s="11" t="n">
        <v>0</v>
      </c>
      <c r="AR237" s="11" t="n">
        <v>3</v>
      </c>
      <c r="AS237" s="11" t="n">
        <v>0</v>
      </c>
      <c r="AT237" s="11" t="n">
        <v>1</v>
      </c>
      <c r="AU237" s="11" t="n">
        <v>0</v>
      </c>
      <c r="AV237" s="11" t="n">
        <v>15</v>
      </c>
      <c r="AW237" s="11" t="n">
        <v>0</v>
      </c>
      <c r="AX237" s="11" t="n">
        <v>20</v>
      </c>
      <c r="AY237" s="11" t="n">
        <v>0</v>
      </c>
      <c r="AZ237" s="11" t="n">
        <v>0</v>
      </c>
      <c r="BA237" s="11" t="n">
        <v>0</v>
      </c>
      <c r="BB237" s="11" t="n">
        <v>0</v>
      </c>
      <c r="BC237" s="11" t="n">
        <v>3</v>
      </c>
      <c r="BD237" s="11" t="n">
        <v>0</v>
      </c>
      <c r="BE237" s="11" t="n">
        <v>0</v>
      </c>
      <c r="BF237" s="11" t="n">
        <v>1</v>
      </c>
      <c r="BG237" s="11" t="n">
        <v>0</v>
      </c>
      <c r="BH237" s="11" t="n">
        <v>400</v>
      </c>
      <c r="BI237" s="11" t="n">
        <v>0</v>
      </c>
      <c r="BJ237" s="11" t="n">
        <v>0</v>
      </c>
      <c r="BK237" s="11" t="n">
        <v>7</v>
      </c>
      <c r="BL237" s="11" t="n">
        <v>0</v>
      </c>
      <c r="BM237" s="11" t="n">
        <v>16</v>
      </c>
      <c r="BN237" s="11" t="n">
        <v>3</v>
      </c>
      <c r="BO237" s="11" t="n">
        <v>0</v>
      </c>
      <c r="BP237" s="11" t="n">
        <v>0</v>
      </c>
      <c r="BQ237" s="11" t="n">
        <v>0</v>
      </c>
      <c r="BR237" s="11" t="n">
        <v>0</v>
      </c>
      <c r="BS237" s="11" t="n">
        <v>0</v>
      </c>
      <c r="BT237" s="11" t="n">
        <v>0</v>
      </c>
      <c r="BU237" s="11" t="n">
        <v>0</v>
      </c>
      <c r="BV237" s="11" t="n">
        <v>0</v>
      </c>
      <c r="BW237" s="11" t="n">
        <v>5</v>
      </c>
      <c r="BX237" s="11" t="n">
        <v>0</v>
      </c>
      <c r="BY237" s="11" t="n">
        <v>40</v>
      </c>
      <c r="BZ237" s="11" t="n">
        <v>0</v>
      </c>
      <c r="CA237" s="11" t="n">
        <v>0</v>
      </c>
      <c r="CB237" s="11" t="n">
        <v>0</v>
      </c>
      <c r="CC237" s="11" t="n">
        <v>8</v>
      </c>
      <c r="CD237" s="11" t="n">
        <v>0</v>
      </c>
      <c r="CE237" s="11" t="n">
        <v>0</v>
      </c>
    </row>
    <row r="238">
      <c r="A238" s="14" t="inlineStr">
        <is>
          <t>2026-06-02</t>
        </is>
      </c>
      <c r="B238" s="8" t="n">
        <v>0</v>
      </c>
      <c r="C238" s="8" t="n">
        <v>5</v>
      </c>
      <c r="D238" s="8" t="n">
        <v>0</v>
      </c>
      <c r="E238" s="8" t="n">
        <v>0</v>
      </c>
      <c r="F238" s="8" t="n">
        <v>0</v>
      </c>
      <c r="G238" s="8" t="n">
        <v>0</v>
      </c>
      <c r="H238" s="8" t="n">
        <v>0</v>
      </c>
      <c r="I238" s="8" t="n">
        <v>0</v>
      </c>
      <c r="J238" s="8" t="n">
        <v>0</v>
      </c>
      <c r="K238" s="8" t="n">
        <v>0</v>
      </c>
      <c r="L238" s="8" t="n">
        <v>0</v>
      </c>
      <c r="M238" s="8" t="n">
        <v>0</v>
      </c>
      <c r="N238" s="8" t="n">
        <v>0</v>
      </c>
      <c r="O238" s="8" t="n">
        <v>0</v>
      </c>
      <c r="P238" s="8" t="n">
        <v>0</v>
      </c>
      <c r="Q238" s="8" t="n">
        <v>0</v>
      </c>
      <c r="R238" s="8" t="n">
        <v>4</v>
      </c>
      <c r="S238" s="8" t="n">
        <v>0</v>
      </c>
      <c r="T238" s="8" t="n">
        <v>0</v>
      </c>
      <c r="U238" s="8" t="n">
        <v>0</v>
      </c>
      <c r="V238" s="8" t="n">
        <v>0</v>
      </c>
      <c r="W238" s="8" t="n">
        <v>0</v>
      </c>
      <c r="X238" s="8" t="n">
        <v>0</v>
      </c>
      <c r="Y238" s="8" t="n">
        <v>0</v>
      </c>
      <c r="Z238" s="8" t="n">
        <v>950</v>
      </c>
      <c r="AA238" s="8" t="n">
        <v>300</v>
      </c>
      <c r="AB238" s="8" t="n">
        <v>120</v>
      </c>
      <c r="AC238" s="8" t="n">
        <v>0</v>
      </c>
      <c r="AD238" s="8" t="n">
        <v>0</v>
      </c>
      <c r="AE238" s="8" t="n">
        <v>0</v>
      </c>
      <c r="AF238" s="8" t="n">
        <v>0</v>
      </c>
      <c r="AG238" s="8" t="n">
        <v>3</v>
      </c>
      <c r="AH238" s="8" t="n">
        <v>1</v>
      </c>
      <c r="AI238" s="8" t="n">
        <v>0</v>
      </c>
      <c r="AJ238" s="8" t="n">
        <v>0</v>
      </c>
      <c r="AK238" s="8" t="n">
        <v>0</v>
      </c>
      <c r="AL238" s="8" t="n">
        <v>0</v>
      </c>
      <c r="AM238" s="8" t="n">
        <v>0</v>
      </c>
      <c r="AN238" s="8" t="n">
        <v>0</v>
      </c>
      <c r="AO238" s="8" t="n">
        <v>0</v>
      </c>
      <c r="AP238" s="8" t="n">
        <v>1</v>
      </c>
      <c r="AQ238" s="8" t="n">
        <v>0</v>
      </c>
      <c r="AR238" s="8" t="n">
        <v>3</v>
      </c>
      <c r="AS238" s="8" t="n">
        <v>0</v>
      </c>
      <c r="AT238" s="8" t="n">
        <v>1</v>
      </c>
      <c r="AU238" s="8" t="n">
        <v>0</v>
      </c>
      <c r="AV238" s="8" t="n">
        <v>15</v>
      </c>
      <c r="AW238" s="8" t="n">
        <v>0</v>
      </c>
      <c r="AX238" s="8" t="n">
        <v>20</v>
      </c>
      <c r="AY238" s="8" t="n">
        <v>0</v>
      </c>
      <c r="AZ238" s="8" t="n">
        <v>0</v>
      </c>
      <c r="BA238" s="8" t="n">
        <v>0</v>
      </c>
      <c r="BB238" s="8" t="n">
        <v>0</v>
      </c>
      <c r="BC238" s="8" t="n">
        <v>3</v>
      </c>
      <c r="BD238" s="8" t="n">
        <v>0</v>
      </c>
      <c r="BE238" s="8" t="n">
        <v>0</v>
      </c>
      <c r="BF238" s="8" t="n">
        <v>1</v>
      </c>
      <c r="BG238" s="8" t="n">
        <v>0</v>
      </c>
      <c r="BH238" s="8" t="n">
        <v>400</v>
      </c>
      <c r="BI238" s="8" t="n">
        <v>0</v>
      </c>
      <c r="BJ238" s="8" t="n">
        <v>0</v>
      </c>
      <c r="BK238" s="8" t="n">
        <v>7</v>
      </c>
      <c r="BL238" s="8" t="n">
        <v>0</v>
      </c>
      <c r="BM238" s="8" t="n">
        <v>16</v>
      </c>
      <c r="BN238" s="8" t="n">
        <v>3</v>
      </c>
      <c r="BO238" s="8" t="n">
        <v>0</v>
      </c>
      <c r="BP238" s="8" t="n">
        <v>0</v>
      </c>
      <c r="BQ238" s="8" t="n">
        <v>0</v>
      </c>
      <c r="BR238" s="8" t="n">
        <v>0</v>
      </c>
      <c r="BS238" s="8" t="n">
        <v>0</v>
      </c>
      <c r="BT238" s="8" t="n">
        <v>0</v>
      </c>
      <c r="BU238" s="8" t="n">
        <v>0</v>
      </c>
      <c r="BV238" s="8" t="n">
        <v>0</v>
      </c>
      <c r="BW238" s="8" t="n">
        <v>10</v>
      </c>
      <c r="BX238" s="8" t="n">
        <v>0</v>
      </c>
      <c r="BY238" s="8" t="n">
        <v>40</v>
      </c>
      <c r="BZ238" s="8" t="n">
        <v>0</v>
      </c>
      <c r="CA238" s="8" t="n">
        <v>0</v>
      </c>
      <c r="CB238" s="8" t="n">
        <v>0</v>
      </c>
      <c r="CC238" s="8" t="n">
        <v>8</v>
      </c>
      <c r="CD238" s="8" t="n">
        <v>0</v>
      </c>
      <c r="CE238" s="8" t="n">
        <v>0</v>
      </c>
    </row>
    <row r="239">
      <c r="A239" s="15" t="inlineStr">
        <is>
          <t>2026-06-03</t>
        </is>
      </c>
      <c r="B239" s="11" t="n">
        <v>0</v>
      </c>
      <c r="C239" s="11" t="n">
        <v>0</v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  <c r="P239" s="11" t="n">
        <v>0</v>
      </c>
      <c r="Q239" s="11" t="n">
        <v>0</v>
      </c>
      <c r="R239" s="11" t="n">
        <v>4</v>
      </c>
      <c r="S239" s="11" t="n">
        <v>0</v>
      </c>
      <c r="T239" s="11" t="n">
        <v>0</v>
      </c>
      <c r="U239" s="11" t="n">
        <v>0</v>
      </c>
      <c r="V239" s="11" t="n">
        <v>0</v>
      </c>
      <c r="W239" s="11" t="n">
        <v>0</v>
      </c>
      <c r="X239" s="11" t="n">
        <v>0</v>
      </c>
      <c r="Y239" s="11" t="n">
        <v>0</v>
      </c>
      <c r="Z239" s="11" t="n">
        <v>950</v>
      </c>
      <c r="AA239" s="11" t="n">
        <v>300</v>
      </c>
      <c r="AB239" s="11" t="n">
        <v>120</v>
      </c>
      <c r="AC239" s="11" t="n">
        <v>0</v>
      </c>
      <c r="AD239" s="11" t="n">
        <v>0</v>
      </c>
      <c r="AE239" s="11" t="n">
        <v>0</v>
      </c>
      <c r="AF239" s="11" t="n">
        <v>0</v>
      </c>
      <c r="AG239" s="11" t="n">
        <v>3</v>
      </c>
      <c r="AH239" s="11" t="n">
        <v>1</v>
      </c>
      <c r="AI239" s="11" t="n">
        <v>0</v>
      </c>
      <c r="AJ239" s="11" t="n">
        <v>0</v>
      </c>
      <c r="AK239" s="11" t="n">
        <v>0</v>
      </c>
      <c r="AL239" s="11" t="n">
        <v>0</v>
      </c>
      <c r="AM239" s="11" t="n">
        <v>0</v>
      </c>
      <c r="AN239" s="11" t="n">
        <v>0</v>
      </c>
      <c r="AO239" s="11" t="n">
        <v>0</v>
      </c>
      <c r="AP239" s="11" t="n">
        <v>1</v>
      </c>
      <c r="AQ239" s="11" t="n">
        <v>0</v>
      </c>
      <c r="AR239" s="11" t="n">
        <v>3</v>
      </c>
      <c r="AS239" s="11" t="n">
        <v>0</v>
      </c>
      <c r="AT239" s="11" t="n">
        <v>1</v>
      </c>
      <c r="AU239" s="11" t="n">
        <v>0</v>
      </c>
      <c r="AV239" s="11" t="n">
        <v>15</v>
      </c>
      <c r="AW239" s="11" t="n">
        <v>0</v>
      </c>
      <c r="AX239" s="11" t="n">
        <v>20</v>
      </c>
      <c r="AY239" s="11" t="n">
        <v>0</v>
      </c>
      <c r="AZ239" s="11" t="n">
        <v>0</v>
      </c>
      <c r="BA239" s="11" t="n">
        <v>0</v>
      </c>
      <c r="BB239" s="11" t="n">
        <v>0</v>
      </c>
      <c r="BC239" s="11" t="n">
        <v>3</v>
      </c>
      <c r="BD239" s="11" t="n">
        <v>0</v>
      </c>
      <c r="BE239" s="11" t="n">
        <v>0</v>
      </c>
      <c r="BF239" s="11" t="n">
        <v>1</v>
      </c>
      <c r="BG239" s="11" t="n">
        <v>0</v>
      </c>
      <c r="BH239" s="11" t="n">
        <v>400</v>
      </c>
      <c r="BI239" s="11" t="n">
        <v>0</v>
      </c>
      <c r="BJ239" s="11" t="n">
        <v>0</v>
      </c>
      <c r="BK239" s="11" t="n">
        <v>7</v>
      </c>
      <c r="BL239" s="11" t="n">
        <v>0</v>
      </c>
      <c r="BM239" s="11" t="n">
        <v>16</v>
      </c>
      <c r="BN239" s="11" t="n">
        <v>3</v>
      </c>
      <c r="BO239" s="11" t="n">
        <v>0</v>
      </c>
      <c r="BP239" s="11" t="n">
        <v>0</v>
      </c>
      <c r="BQ239" s="11" t="n">
        <v>0</v>
      </c>
      <c r="BR239" s="11" t="n">
        <v>0</v>
      </c>
      <c r="BS239" s="11" t="n">
        <v>0</v>
      </c>
      <c r="BT239" s="11" t="n">
        <v>0</v>
      </c>
      <c r="BU239" s="11" t="n">
        <v>0</v>
      </c>
      <c r="BV239" s="11" t="n">
        <v>0</v>
      </c>
      <c r="BW239" s="11" t="n">
        <v>10</v>
      </c>
      <c r="BX239" s="11" t="n">
        <v>0</v>
      </c>
      <c r="BY239" s="11" t="n">
        <v>40</v>
      </c>
      <c r="BZ239" s="11" t="n">
        <v>0</v>
      </c>
      <c r="CA239" s="11" t="n">
        <v>0</v>
      </c>
      <c r="CB239" s="11" t="n">
        <v>0</v>
      </c>
      <c r="CC239" s="11" t="n">
        <v>8</v>
      </c>
      <c r="CD239" s="11" t="n">
        <v>0</v>
      </c>
      <c r="CE239" s="11" t="n">
        <v>0</v>
      </c>
    </row>
    <row r="240">
      <c r="A240" s="14" t="inlineStr">
        <is>
          <t>2026-06-04</t>
        </is>
      </c>
      <c r="B240" s="8" t="n">
        <v>0</v>
      </c>
      <c r="C240" s="8" t="n">
        <v>0</v>
      </c>
      <c r="D240" s="8" t="n">
        <v>0</v>
      </c>
      <c r="E240" s="8" t="n">
        <v>0</v>
      </c>
      <c r="F240" s="8" t="n">
        <v>0</v>
      </c>
      <c r="G240" s="8" t="n">
        <v>0</v>
      </c>
      <c r="H240" s="8" t="n">
        <v>0</v>
      </c>
      <c r="I240" s="8" t="n">
        <v>0</v>
      </c>
      <c r="J240" s="8" t="n">
        <v>0</v>
      </c>
      <c r="K240" s="8" t="n">
        <v>0</v>
      </c>
      <c r="L240" s="8" t="n">
        <v>0</v>
      </c>
      <c r="M240" s="8" t="n">
        <v>0</v>
      </c>
      <c r="N240" s="8" t="n">
        <v>0</v>
      </c>
      <c r="O240" s="8" t="n">
        <v>0</v>
      </c>
      <c r="P240" s="8" t="n">
        <v>0</v>
      </c>
      <c r="Q240" s="8" t="n">
        <v>0</v>
      </c>
      <c r="R240" s="8" t="n">
        <v>4</v>
      </c>
      <c r="S240" s="8" t="n">
        <v>0</v>
      </c>
      <c r="T240" s="8" t="n">
        <v>0</v>
      </c>
      <c r="U240" s="8" t="n">
        <v>0</v>
      </c>
      <c r="V240" s="8" t="n">
        <v>0</v>
      </c>
      <c r="W240" s="8" t="n">
        <v>0</v>
      </c>
      <c r="X240" s="8" t="n">
        <v>0</v>
      </c>
      <c r="Y240" s="8" t="n">
        <v>0</v>
      </c>
      <c r="Z240" s="8" t="n">
        <v>950</v>
      </c>
      <c r="AA240" s="8" t="n">
        <v>300</v>
      </c>
      <c r="AB240" s="8" t="n">
        <v>120</v>
      </c>
      <c r="AC240" s="8" t="n">
        <v>0</v>
      </c>
      <c r="AD240" s="8" t="n">
        <v>0</v>
      </c>
      <c r="AE240" s="8" t="n">
        <v>0</v>
      </c>
      <c r="AF240" s="8" t="n">
        <v>0</v>
      </c>
      <c r="AG240" s="8" t="n">
        <v>3</v>
      </c>
      <c r="AH240" s="8" t="n">
        <v>1</v>
      </c>
      <c r="AI240" s="8" t="n">
        <v>0</v>
      </c>
      <c r="AJ240" s="8" t="n">
        <v>0</v>
      </c>
      <c r="AK240" s="8" t="n">
        <v>0</v>
      </c>
      <c r="AL240" s="8" t="n">
        <v>0</v>
      </c>
      <c r="AM240" s="8" t="n">
        <v>0</v>
      </c>
      <c r="AN240" s="8" t="n">
        <v>0</v>
      </c>
      <c r="AO240" s="8" t="n">
        <v>0</v>
      </c>
      <c r="AP240" s="8" t="n">
        <v>1</v>
      </c>
      <c r="AQ240" s="8" t="n">
        <v>0</v>
      </c>
      <c r="AR240" s="8" t="n">
        <v>3</v>
      </c>
      <c r="AS240" s="8" t="n">
        <v>0</v>
      </c>
      <c r="AT240" s="8" t="n">
        <v>1</v>
      </c>
      <c r="AU240" s="8" t="n">
        <v>0</v>
      </c>
      <c r="AV240" s="8" t="n">
        <v>15</v>
      </c>
      <c r="AW240" s="8" t="n">
        <v>0</v>
      </c>
      <c r="AX240" s="8" t="n">
        <v>20</v>
      </c>
      <c r="AY240" s="8" t="n">
        <v>0</v>
      </c>
      <c r="AZ240" s="8" t="n">
        <v>0</v>
      </c>
      <c r="BA240" s="8" t="n">
        <v>0</v>
      </c>
      <c r="BB240" s="8" t="n">
        <v>0</v>
      </c>
      <c r="BC240" s="8" t="n">
        <v>3</v>
      </c>
      <c r="BD240" s="8" t="n">
        <v>0</v>
      </c>
      <c r="BE240" s="8" t="n">
        <v>0</v>
      </c>
      <c r="BF240" s="8" t="n">
        <v>1</v>
      </c>
      <c r="BG240" s="8" t="n">
        <v>0</v>
      </c>
      <c r="BH240" s="8" t="n">
        <v>400</v>
      </c>
      <c r="BI240" s="8" t="n">
        <v>0</v>
      </c>
      <c r="BJ240" s="8" t="n">
        <v>0</v>
      </c>
      <c r="BK240" s="8" t="n">
        <v>7</v>
      </c>
      <c r="BL240" s="8" t="n">
        <v>0</v>
      </c>
      <c r="BM240" s="8" t="n">
        <v>16</v>
      </c>
      <c r="BN240" s="8" t="n">
        <v>3</v>
      </c>
      <c r="BO240" s="8" t="n">
        <v>0</v>
      </c>
      <c r="BP240" s="8" t="n">
        <v>0</v>
      </c>
      <c r="BQ240" s="8" t="n">
        <v>0</v>
      </c>
      <c r="BR240" s="8" t="n">
        <v>0</v>
      </c>
      <c r="BS240" s="8" t="n">
        <v>0</v>
      </c>
      <c r="BT240" s="8" t="n">
        <v>0</v>
      </c>
      <c r="BU240" s="8" t="n">
        <v>0</v>
      </c>
      <c r="BV240" s="8" t="n">
        <v>0</v>
      </c>
      <c r="BW240" s="8" t="n">
        <v>10</v>
      </c>
      <c r="BX240" s="8" t="n">
        <v>0</v>
      </c>
      <c r="BY240" s="8" t="n">
        <v>40</v>
      </c>
      <c r="BZ240" s="8" t="n">
        <v>0</v>
      </c>
      <c r="CA240" s="8" t="n">
        <v>0</v>
      </c>
      <c r="CB240" s="8" t="n">
        <v>0</v>
      </c>
      <c r="CC240" s="8" t="n">
        <v>8</v>
      </c>
      <c r="CD240" s="8" t="n">
        <v>0</v>
      </c>
      <c r="CE240" s="8" t="n">
        <v>0</v>
      </c>
    </row>
    <row r="241">
      <c r="A241" s="15" t="inlineStr">
        <is>
          <t>2026-06-05</t>
        </is>
      </c>
      <c r="B241" s="11" t="n">
        <v>0</v>
      </c>
      <c r="C241" s="11" t="n">
        <v>0</v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  <c r="P241" s="11" t="n">
        <v>0</v>
      </c>
      <c r="Q241" s="11" t="n">
        <v>0</v>
      </c>
      <c r="R241" s="11" t="n">
        <v>4</v>
      </c>
      <c r="S241" s="11" t="n">
        <v>0</v>
      </c>
      <c r="T241" s="11" t="n">
        <v>0</v>
      </c>
      <c r="U241" s="11" t="n">
        <v>0</v>
      </c>
      <c r="V241" s="11" t="n">
        <v>0</v>
      </c>
      <c r="W241" s="11" t="n">
        <v>0</v>
      </c>
      <c r="X241" s="11" t="n">
        <v>0</v>
      </c>
      <c r="Y241" s="11" t="n">
        <v>0</v>
      </c>
      <c r="Z241" s="11" t="n">
        <v>950</v>
      </c>
      <c r="AA241" s="11" t="n">
        <v>300</v>
      </c>
      <c r="AB241" s="11" t="n">
        <v>120</v>
      </c>
      <c r="AC241" s="11" t="n">
        <v>0</v>
      </c>
      <c r="AD241" s="11" t="n">
        <v>0</v>
      </c>
      <c r="AE241" s="11" t="n">
        <v>0</v>
      </c>
      <c r="AF241" s="11" t="n">
        <v>3</v>
      </c>
      <c r="AG241" s="11" t="n">
        <v>3</v>
      </c>
      <c r="AH241" s="11" t="n">
        <v>1</v>
      </c>
      <c r="AI241" s="11" t="n">
        <v>0</v>
      </c>
      <c r="AJ241" s="11" t="n">
        <v>0</v>
      </c>
      <c r="AK241" s="11" t="n">
        <v>0</v>
      </c>
      <c r="AL241" s="11" t="n">
        <v>0</v>
      </c>
      <c r="AM241" s="11" t="n">
        <v>0</v>
      </c>
      <c r="AN241" s="11" t="n">
        <v>0</v>
      </c>
      <c r="AO241" s="11" t="n">
        <v>0</v>
      </c>
      <c r="AP241" s="11" t="n">
        <v>1</v>
      </c>
      <c r="AQ241" s="11" t="n">
        <v>0</v>
      </c>
      <c r="AR241" s="11" t="n">
        <v>3</v>
      </c>
      <c r="AS241" s="11" t="n">
        <v>0</v>
      </c>
      <c r="AT241" s="11" t="n">
        <v>1</v>
      </c>
      <c r="AU241" s="11" t="n">
        <v>0</v>
      </c>
      <c r="AV241" s="11" t="n">
        <v>15</v>
      </c>
      <c r="AW241" s="11" t="n">
        <v>0</v>
      </c>
      <c r="AX241" s="11" t="n">
        <v>20</v>
      </c>
      <c r="AY241" s="11" t="n">
        <v>0</v>
      </c>
      <c r="AZ241" s="11" t="n">
        <v>0</v>
      </c>
      <c r="BA241" s="11" t="n">
        <v>0</v>
      </c>
      <c r="BB241" s="11" t="n">
        <v>0</v>
      </c>
      <c r="BC241" s="11" t="n">
        <v>3</v>
      </c>
      <c r="BD241" s="11" t="n">
        <v>0</v>
      </c>
      <c r="BE241" s="11" t="n">
        <v>0</v>
      </c>
      <c r="BF241" s="11" t="n">
        <v>1</v>
      </c>
      <c r="BG241" s="11" t="n">
        <v>0</v>
      </c>
      <c r="BH241" s="11" t="n">
        <v>400</v>
      </c>
      <c r="BI241" s="11" t="n">
        <v>0</v>
      </c>
      <c r="BJ241" s="11" t="n">
        <v>0</v>
      </c>
      <c r="BK241" s="11" t="n">
        <v>7</v>
      </c>
      <c r="BL241" s="11" t="n">
        <v>3</v>
      </c>
      <c r="BM241" s="11" t="n">
        <v>16</v>
      </c>
      <c r="BN241" s="11" t="n">
        <v>3</v>
      </c>
      <c r="BO241" s="11" t="n">
        <v>0</v>
      </c>
      <c r="BP241" s="11" t="n">
        <v>0</v>
      </c>
      <c r="BQ241" s="11" t="n">
        <v>0</v>
      </c>
      <c r="BR241" s="11" t="n">
        <v>0</v>
      </c>
      <c r="BS241" s="11" t="n">
        <v>0</v>
      </c>
      <c r="BT241" s="11" t="n">
        <v>0</v>
      </c>
      <c r="BU241" s="11" t="n">
        <v>0</v>
      </c>
      <c r="BV241" s="11" t="n">
        <v>0</v>
      </c>
      <c r="BW241" s="11" t="n">
        <v>10</v>
      </c>
      <c r="BX241" s="11" t="n">
        <v>0</v>
      </c>
      <c r="BY241" s="11" t="n">
        <v>40</v>
      </c>
      <c r="BZ241" s="11" t="n">
        <v>0</v>
      </c>
      <c r="CA241" s="11" t="n">
        <v>0</v>
      </c>
      <c r="CB241" s="11" t="n">
        <v>0</v>
      </c>
      <c r="CC241" s="11" t="n">
        <v>8</v>
      </c>
      <c r="CD241" s="11" t="n">
        <v>0</v>
      </c>
      <c r="CE241" s="11" t="n">
        <v>0</v>
      </c>
    </row>
    <row r="242">
      <c r="A242" s="14" t="inlineStr">
        <is>
          <t>2026-06-08</t>
        </is>
      </c>
      <c r="B242" s="8" t="n">
        <v>0</v>
      </c>
      <c r="C242" s="8" t="n">
        <v>0</v>
      </c>
      <c r="D242" s="8" t="n">
        <v>0</v>
      </c>
      <c r="E242" s="8" t="n">
        <v>0</v>
      </c>
      <c r="F242" s="8" t="n">
        <v>0</v>
      </c>
      <c r="G242" s="8" t="n">
        <v>0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0</v>
      </c>
      <c r="M242" s="8" t="n">
        <v>0</v>
      </c>
      <c r="N242" s="8" t="n">
        <v>0</v>
      </c>
      <c r="O242" s="8" t="n">
        <v>0</v>
      </c>
      <c r="P242" s="8" t="n">
        <v>0</v>
      </c>
      <c r="Q242" s="8" t="n">
        <v>0</v>
      </c>
      <c r="R242" s="8" t="n">
        <v>4</v>
      </c>
      <c r="S242" s="8" t="n">
        <v>0</v>
      </c>
      <c r="T242" s="8" t="n">
        <v>0</v>
      </c>
      <c r="U242" s="8" t="n">
        <v>0</v>
      </c>
      <c r="V242" s="8" t="n">
        <v>0</v>
      </c>
      <c r="W242" s="8" t="n">
        <v>0</v>
      </c>
      <c r="X242" s="8" t="n">
        <v>0</v>
      </c>
      <c r="Y242" s="8" t="n">
        <v>0</v>
      </c>
      <c r="Z242" s="8" t="n">
        <v>950</v>
      </c>
      <c r="AA242" s="8" t="n">
        <v>300</v>
      </c>
      <c r="AB242" s="8" t="n">
        <v>120</v>
      </c>
      <c r="AC242" s="8" t="n">
        <v>0</v>
      </c>
      <c r="AD242" s="8" t="n">
        <v>0</v>
      </c>
      <c r="AE242" s="8" t="n">
        <v>0</v>
      </c>
      <c r="AF242" s="8" t="n">
        <v>3</v>
      </c>
      <c r="AG242" s="8" t="n">
        <v>3</v>
      </c>
      <c r="AH242" s="8" t="n">
        <v>1</v>
      </c>
      <c r="AI242" s="8" t="n">
        <v>0</v>
      </c>
      <c r="AJ242" s="8" t="n">
        <v>0</v>
      </c>
      <c r="AK242" s="8" t="n">
        <v>0</v>
      </c>
      <c r="AL242" s="8" t="n">
        <v>0</v>
      </c>
      <c r="AM242" s="8" t="n">
        <v>0</v>
      </c>
      <c r="AN242" s="8" t="n">
        <v>0</v>
      </c>
      <c r="AO242" s="8" t="n">
        <v>0</v>
      </c>
      <c r="AP242" s="8" t="n">
        <v>1</v>
      </c>
      <c r="AQ242" s="8" t="n">
        <v>0</v>
      </c>
      <c r="AR242" s="8" t="n">
        <v>3</v>
      </c>
      <c r="AS242" s="8" t="n">
        <v>0</v>
      </c>
      <c r="AT242" s="8" t="n">
        <v>1</v>
      </c>
      <c r="AU242" s="8" t="n">
        <v>0</v>
      </c>
      <c r="AV242" s="8" t="n">
        <v>15</v>
      </c>
      <c r="AW242" s="8" t="n">
        <v>0</v>
      </c>
      <c r="AX242" s="8" t="n">
        <v>20</v>
      </c>
      <c r="AY242" s="8" t="n">
        <v>0</v>
      </c>
      <c r="AZ242" s="8" t="n">
        <v>0</v>
      </c>
      <c r="BA242" s="8" t="n">
        <v>0</v>
      </c>
      <c r="BB242" s="8" t="n">
        <v>0</v>
      </c>
      <c r="BC242" s="8" t="n">
        <v>3</v>
      </c>
      <c r="BD242" s="8" t="n">
        <v>0</v>
      </c>
      <c r="BE242" s="8" t="n">
        <v>0</v>
      </c>
      <c r="BF242" s="8" t="n">
        <v>1</v>
      </c>
      <c r="BG242" s="8" t="n">
        <v>0</v>
      </c>
      <c r="BH242" s="8" t="n">
        <v>400</v>
      </c>
      <c r="BI242" s="8" t="n">
        <v>0</v>
      </c>
      <c r="BJ242" s="8" t="n">
        <v>0</v>
      </c>
      <c r="BK242" s="8" t="n">
        <v>7</v>
      </c>
      <c r="BL242" s="8" t="n">
        <v>3</v>
      </c>
      <c r="BM242" s="8" t="n">
        <v>16</v>
      </c>
      <c r="BN242" s="8" t="n">
        <v>3</v>
      </c>
      <c r="BO242" s="8" t="n">
        <v>0</v>
      </c>
      <c r="BP242" s="8" t="n">
        <v>0</v>
      </c>
      <c r="BQ242" s="8" t="n">
        <v>0</v>
      </c>
      <c r="BR242" s="8" t="n">
        <v>0</v>
      </c>
      <c r="BS242" s="8" t="n">
        <v>0</v>
      </c>
      <c r="BT242" s="8" t="n">
        <v>0</v>
      </c>
      <c r="BU242" s="8" t="n">
        <v>0</v>
      </c>
      <c r="BV242" s="8" t="n">
        <v>0</v>
      </c>
      <c r="BW242" s="8" t="n">
        <v>10</v>
      </c>
      <c r="BX242" s="8" t="n">
        <v>0</v>
      </c>
      <c r="BY242" s="8" t="n">
        <v>40</v>
      </c>
      <c r="BZ242" s="8" t="n">
        <v>0</v>
      </c>
      <c r="CA242" s="8" t="n">
        <v>0</v>
      </c>
      <c r="CB242" s="8" t="n">
        <v>0</v>
      </c>
      <c r="CC242" s="8" t="n">
        <v>8</v>
      </c>
      <c r="CD242" s="8" t="n">
        <v>0</v>
      </c>
      <c r="CE242" s="8" t="n">
        <v>0</v>
      </c>
    </row>
    <row r="243">
      <c r="A243" s="15" t="inlineStr">
        <is>
          <t>2026-06-09</t>
        </is>
      </c>
      <c r="B243" s="11" t="n">
        <v>0</v>
      </c>
      <c r="C243" s="11" t="n">
        <v>0</v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  <c r="P243" s="11" t="n">
        <v>0</v>
      </c>
      <c r="Q243" s="11" t="n">
        <v>0</v>
      </c>
      <c r="R243" s="11" t="n">
        <v>4</v>
      </c>
      <c r="S243" s="11" t="n">
        <v>0</v>
      </c>
      <c r="T243" s="11" t="n">
        <v>0</v>
      </c>
      <c r="U243" s="11" t="n">
        <v>0</v>
      </c>
      <c r="V243" s="11" t="n">
        <v>0</v>
      </c>
      <c r="W243" s="11" t="n">
        <v>3</v>
      </c>
      <c r="X243" s="11" t="n">
        <v>0</v>
      </c>
      <c r="Y243" s="11" t="n">
        <v>0</v>
      </c>
      <c r="Z243" s="11" t="n">
        <v>950</v>
      </c>
      <c r="AA243" s="11" t="n">
        <v>300</v>
      </c>
      <c r="AB243" s="11" t="n">
        <v>120</v>
      </c>
      <c r="AC243" s="11" t="n">
        <v>0</v>
      </c>
      <c r="AD243" s="11" t="n">
        <v>0</v>
      </c>
      <c r="AE243" s="11" t="n">
        <v>0</v>
      </c>
      <c r="AF243" s="11" t="n">
        <v>3</v>
      </c>
      <c r="AG243" s="11" t="n">
        <v>3</v>
      </c>
      <c r="AH243" s="11" t="n">
        <v>1</v>
      </c>
      <c r="AI243" s="11" t="n">
        <v>0</v>
      </c>
      <c r="AJ243" s="11" t="n">
        <v>0</v>
      </c>
      <c r="AK243" s="11" t="n">
        <v>0</v>
      </c>
      <c r="AL243" s="11" t="n">
        <v>0</v>
      </c>
      <c r="AM243" s="11" t="n">
        <v>0</v>
      </c>
      <c r="AN243" s="11" t="n">
        <v>0</v>
      </c>
      <c r="AO243" s="11" t="n">
        <v>0</v>
      </c>
      <c r="AP243" s="11" t="n">
        <v>1</v>
      </c>
      <c r="AQ243" s="11" t="n">
        <v>0</v>
      </c>
      <c r="AR243" s="11" t="n">
        <v>0</v>
      </c>
      <c r="AS243" s="11" t="n">
        <v>0</v>
      </c>
      <c r="AT243" s="11" t="n">
        <v>1</v>
      </c>
      <c r="AU243" s="11" t="n">
        <v>0</v>
      </c>
      <c r="AV243" s="11" t="n">
        <v>15</v>
      </c>
      <c r="AW243" s="11" t="n">
        <v>0</v>
      </c>
      <c r="AX243" s="11" t="n">
        <v>20</v>
      </c>
      <c r="AY243" s="11" t="n">
        <v>0</v>
      </c>
      <c r="AZ243" s="11" t="n">
        <v>0</v>
      </c>
      <c r="BA243" s="11" t="n">
        <v>0</v>
      </c>
      <c r="BB243" s="11" t="n">
        <v>0</v>
      </c>
      <c r="BC243" s="11" t="n">
        <v>3</v>
      </c>
      <c r="BD243" s="11" t="n">
        <v>0</v>
      </c>
      <c r="BE243" s="11" t="n">
        <v>0</v>
      </c>
      <c r="BF243" s="11" t="n">
        <v>1</v>
      </c>
      <c r="BG243" s="11" t="n">
        <v>0</v>
      </c>
      <c r="BH243" s="11" t="n">
        <v>400</v>
      </c>
      <c r="BI243" s="11" t="n">
        <v>0</v>
      </c>
      <c r="BJ243" s="11" t="n">
        <v>0</v>
      </c>
      <c r="BK243" s="11" t="n">
        <v>7</v>
      </c>
      <c r="BL243" s="11" t="n">
        <v>3</v>
      </c>
      <c r="BM243" s="11" t="n">
        <v>16</v>
      </c>
      <c r="BN243" s="11" t="n">
        <v>3</v>
      </c>
      <c r="BO243" s="11" t="n">
        <v>0</v>
      </c>
      <c r="BP243" s="11" t="n">
        <v>0</v>
      </c>
      <c r="BQ243" s="11" t="n">
        <v>0</v>
      </c>
      <c r="BR243" s="11" t="n">
        <v>0</v>
      </c>
      <c r="BS243" s="11" t="n">
        <v>0</v>
      </c>
      <c r="BT243" s="11" t="n">
        <v>0</v>
      </c>
      <c r="BU243" s="11" t="n">
        <v>0</v>
      </c>
      <c r="BV243" s="11" t="n">
        <v>0</v>
      </c>
      <c r="BW243" s="11" t="n">
        <v>10</v>
      </c>
      <c r="BX243" s="11" t="n">
        <v>0</v>
      </c>
      <c r="BY243" s="11" t="n">
        <v>40</v>
      </c>
      <c r="BZ243" s="11" t="n">
        <v>0</v>
      </c>
      <c r="CA243" s="11" t="n">
        <v>8</v>
      </c>
      <c r="CB243" s="11" t="n">
        <v>0</v>
      </c>
      <c r="CC243" s="11" t="n">
        <v>8</v>
      </c>
      <c r="CD243" s="11" t="n">
        <v>0</v>
      </c>
      <c r="CE243" s="11" t="n">
        <v>0</v>
      </c>
    </row>
    <row r="244">
      <c r="A244" s="14" t="inlineStr">
        <is>
          <t>2026-06-10</t>
        </is>
      </c>
      <c r="B244" s="8" t="n">
        <v>0</v>
      </c>
      <c r="C244" s="8" t="n">
        <v>0</v>
      </c>
      <c r="D244" s="8" t="n">
        <v>0</v>
      </c>
      <c r="E244" s="8" t="n">
        <v>0</v>
      </c>
      <c r="F244" s="8" t="n">
        <v>0</v>
      </c>
      <c r="G244" s="8" t="n">
        <v>0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0</v>
      </c>
      <c r="M244" s="8" t="n">
        <v>0</v>
      </c>
      <c r="N244" s="8" t="n">
        <v>0</v>
      </c>
      <c r="O244" s="8" t="n">
        <v>0</v>
      </c>
      <c r="P244" s="8" t="n">
        <v>0</v>
      </c>
      <c r="Q244" s="8" t="n">
        <v>0</v>
      </c>
      <c r="R244" s="8" t="n">
        <v>4</v>
      </c>
      <c r="S244" s="8" t="n">
        <v>0</v>
      </c>
      <c r="T244" s="8" t="n">
        <v>0</v>
      </c>
      <c r="U244" s="8" t="n">
        <v>0</v>
      </c>
      <c r="V244" s="8" t="n">
        <v>0</v>
      </c>
      <c r="W244" s="8" t="n">
        <v>3</v>
      </c>
      <c r="X244" s="8" t="n">
        <v>0</v>
      </c>
      <c r="Y244" s="8" t="n">
        <v>0</v>
      </c>
      <c r="Z244" s="8" t="n">
        <v>950</v>
      </c>
      <c r="AA244" s="8" t="n">
        <v>300</v>
      </c>
      <c r="AB244" s="8" t="n">
        <v>120</v>
      </c>
      <c r="AC244" s="8" t="n">
        <v>0</v>
      </c>
      <c r="AD244" s="8" t="n">
        <v>0</v>
      </c>
      <c r="AE244" s="8" t="n">
        <v>0</v>
      </c>
      <c r="AF244" s="8" t="n">
        <v>3</v>
      </c>
      <c r="AG244" s="8" t="n">
        <v>3</v>
      </c>
      <c r="AH244" s="8" t="n">
        <v>1</v>
      </c>
      <c r="AI244" s="8" t="n">
        <v>0</v>
      </c>
      <c r="AJ244" s="8" t="n">
        <v>0</v>
      </c>
      <c r="AK244" s="8" t="n">
        <v>0</v>
      </c>
      <c r="AL244" s="8" t="n">
        <v>0</v>
      </c>
      <c r="AM244" s="8" t="n">
        <v>0</v>
      </c>
      <c r="AN244" s="8" t="n">
        <v>0</v>
      </c>
      <c r="AO244" s="8" t="n">
        <v>0</v>
      </c>
      <c r="AP244" s="8" t="n">
        <v>1</v>
      </c>
      <c r="AQ244" s="8" t="n">
        <v>0</v>
      </c>
      <c r="AR244" s="8" t="n">
        <v>0</v>
      </c>
      <c r="AS244" s="8" t="n">
        <v>0</v>
      </c>
      <c r="AT244" s="8" t="n">
        <v>1</v>
      </c>
      <c r="AU244" s="8" t="n">
        <v>0</v>
      </c>
      <c r="AV244" s="8" t="n">
        <v>15</v>
      </c>
      <c r="AW244" s="8" t="n">
        <v>0</v>
      </c>
      <c r="AX244" s="8" t="n">
        <v>20</v>
      </c>
      <c r="AY244" s="8" t="n">
        <v>0</v>
      </c>
      <c r="AZ244" s="8" t="n">
        <v>0</v>
      </c>
      <c r="BA244" s="8" t="n">
        <v>0</v>
      </c>
      <c r="BB244" s="8" t="n">
        <v>0</v>
      </c>
      <c r="BC244" s="8" t="n">
        <v>3</v>
      </c>
      <c r="BD244" s="8" t="n">
        <v>0</v>
      </c>
      <c r="BE244" s="8" t="n">
        <v>0</v>
      </c>
      <c r="BF244" s="8" t="n">
        <v>1</v>
      </c>
      <c r="BG244" s="8" t="n">
        <v>0</v>
      </c>
      <c r="BH244" s="8" t="n">
        <v>400</v>
      </c>
      <c r="BI244" s="8" t="n">
        <v>0</v>
      </c>
      <c r="BJ244" s="8" t="n">
        <v>0</v>
      </c>
      <c r="BK244" s="8" t="n">
        <v>7</v>
      </c>
      <c r="BL244" s="8" t="n">
        <v>3</v>
      </c>
      <c r="BM244" s="8" t="n">
        <v>16</v>
      </c>
      <c r="BN244" s="8" t="n">
        <v>3</v>
      </c>
      <c r="BO244" s="8" t="n">
        <v>0</v>
      </c>
      <c r="BP244" s="8" t="n">
        <v>0</v>
      </c>
      <c r="BQ244" s="8" t="n">
        <v>0</v>
      </c>
      <c r="BR244" s="8" t="n">
        <v>0</v>
      </c>
      <c r="BS244" s="8" t="n">
        <v>0</v>
      </c>
      <c r="BT244" s="8" t="n">
        <v>0</v>
      </c>
      <c r="BU244" s="8" t="n">
        <v>0</v>
      </c>
      <c r="BV244" s="8" t="n">
        <v>0</v>
      </c>
      <c r="BW244" s="8" t="n">
        <v>10</v>
      </c>
      <c r="BX244" s="8" t="n">
        <v>0</v>
      </c>
      <c r="BY244" s="8" t="n">
        <v>40</v>
      </c>
      <c r="BZ244" s="8" t="n">
        <v>0</v>
      </c>
      <c r="CA244" s="8" t="n">
        <v>8</v>
      </c>
      <c r="CB244" s="8" t="n">
        <v>0</v>
      </c>
      <c r="CC244" s="8" t="n">
        <v>8</v>
      </c>
      <c r="CD244" s="8" t="n">
        <v>0</v>
      </c>
      <c r="CE244" s="8" t="n">
        <v>0</v>
      </c>
    </row>
    <row r="245">
      <c r="A245" s="15" t="inlineStr">
        <is>
          <t>2026-06-11</t>
        </is>
      </c>
      <c r="B245" s="11" t="n">
        <v>0</v>
      </c>
      <c r="C245" s="11" t="n">
        <v>0</v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  <c r="P245" s="11" t="n">
        <v>0</v>
      </c>
      <c r="Q245" s="11" t="n">
        <v>0</v>
      </c>
      <c r="R245" s="11" t="n">
        <v>4</v>
      </c>
      <c r="S245" s="11" t="n">
        <v>0</v>
      </c>
      <c r="T245" s="11" t="n">
        <v>0</v>
      </c>
      <c r="U245" s="11" t="n">
        <v>0</v>
      </c>
      <c r="V245" s="11" t="n">
        <v>0</v>
      </c>
      <c r="W245" s="11" t="n">
        <v>3</v>
      </c>
      <c r="X245" s="11" t="n">
        <v>0</v>
      </c>
      <c r="Y245" s="11" t="n">
        <v>0</v>
      </c>
      <c r="Z245" s="11" t="n">
        <v>950</v>
      </c>
      <c r="AA245" s="11" t="n">
        <v>300</v>
      </c>
      <c r="AB245" s="11" t="n">
        <v>120</v>
      </c>
      <c r="AC245" s="11" t="n">
        <v>0</v>
      </c>
      <c r="AD245" s="11" t="n">
        <v>0</v>
      </c>
      <c r="AE245" s="11" t="n">
        <v>7</v>
      </c>
      <c r="AF245" s="11" t="n">
        <v>3</v>
      </c>
      <c r="AG245" s="11" t="n">
        <v>3</v>
      </c>
      <c r="AH245" s="11" t="n">
        <v>1</v>
      </c>
      <c r="AI245" s="11" t="n">
        <v>0</v>
      </c>
      <c r="AJ245" s="11" t="n">
        <v>0</v>
      </c>
      <c r="AK245" s="11" t="n">
        <v>0</v>
      </c>
      <c r="AL245" s="11" t="n">
        <v>0</v>
      </c>
      <c r="AM245" s="11" t="n">
        <v>0</v>
      </c>
      <c r="AN245" s="11" t="n">
        <v>0</v>
      </c>
      <c r="AO245" s="11" t="n">
        <v>0</v>
      </c>
      <c r="AP245" s="11" t="n">
        <v>1</v>
      </c>
      <c r="AQ245" s="11" t="n">
        <v>0</v>
      </c>
      <c r="AR245" s="11" t="n">
        <v>0</v>
      </c>
      <c r="AS245" s="11" t="n">
        <v>0</v>
      </c>
      <c r="AT245" s="11" t="n">
        <v>1</v>
      </c>
      <c r="AU245" s="11" t="n">
        <v>0</v>
      </c>
      <c r="AV245" s="11" t="n">
        <v>15</v>
      </c>
      <c r="AW245" s="11" t="n">
        <v>0</v>
      </c>
      <c r="AX245" s="11" t="n">
        <v>20</v>
      </c>
      <c r="AY245" s="11" t="n">
        <v>0</v>
      </c>
      <c r="AZ245" s="11" t="n">
        <v>0</v>
      </c>
      <c r="BA245" s="11" t="n">
        <v>0</v>
      </c>
      <c r="BB245" s="11" t="n">
        <v>0</v>
      </c>
      <c r="BC245" s="11" t="n">
        <v>3</v>
      </c>
      <c r="BD245" s="11" t="n">
        <v>0</v>
      </c>
      <c r="BE245" s="11" t="n">
        <v>0</v>
      </c>
      <c r="BF245" s="11" t="n">
        <v>1</v>
      </c>
      <c r="BG245" s="11" t="n">
        <v>0</v>
      </c>
      <c r="BH245" s="11" t="n">
        <v>400</v>
      </c>
      <c r="BI245" s="11" t="n">
        <v>0</v>
      </c>
      <c r="BJ245" s="11" t="n">
        <v>0</v>
      </c>
      <c r="BK245" s="11" t="n">
        <v>7</v>
      </c>
      <c r="BL245" s="11" t="n">
        <v>3</v>
      </c>
      <c r="BM245" s="11" t="n">
        <v>16</v>
      </c>
      <c r="BN245" s="11" t="n">
        <v>3</v>
      </c>
      <c r="BO245" s="11" t="n">
        <v>0</v>
      </c>
      <c r="BP245" s="11" t="n">
        <v>0</v>
      </c>
      <c r="BQ245" s="11" t="n">
        <v>0</v>
      </c>
      <c r="BR245" s="11" t="n">
        <v>0</v>
      </c>
      <c r="BS245" s="11" t="n">
        <v>0</v>
      </c>
      <c r="BT245" s="11" t="n">
        <v>0</v>
      </c>
      <c r="BU245" s="11" t="n">
        <v>0</v>
      </c>
      <c r="BV245" s="11" t="n">
        <v>0</v>
      </c>
      <c r="BW245" s="11" t="n">
        <v>10</v>
      </c>
      <c r="BX245" s="11" t="n">
        <v>0</v>
      </c>
      <c r="BY245" s="11" t="n">
        <v>0</v>
      </c>
      <c r="BZ245" s="11" t="n">
        <v>0</v>
      </c>
      <c r="CA245" s="11" t="n">
        <v>8</v>
      </c>
      <c r="CB245" s="11" t="n">
        <v>0</v>
      </c>
      <c r="CC245" s="11" t="n">
        <v>8</v>
      </c>
      <c r="CD245" s="11" t="n">
        <v>0</v>
      </c>
      <c r="CE245" s="11" t="n">
        <v>0</v>
      </c>
    </row>
    <row r="246">
      <c r="A246" s="14" t="inlineStr">
        <is>
          <t>2026-06-12</t>
        </is>
      </c>
      <c r="B246" s="8" t="n">
        <v>0</v>
      </c>
      <c r="C246" s="8" t="n">
        <v>0</v>
      </c>
      <c r="D246" s="8" t="n">
        <v>0</v>
      </c>
      <c r="E246" s="8" t="n">
        <v>0</v>
      </c>
      <c r="F246" s="8" t="n">
        <v>0</v>
      </c>
      <c r="G246" s="8" t="n">
        <v>0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0</v>
      </c>
      <c r="M246" s="8" t="n">
        <v>0</v>
      </c>
      <c r="N246" s="8" t="n">
        <v>0</v>
      </c>
      <c r="O246" s="8" t="n">
        <v>0</v>
      </c>
      <c r="P246" s="8" t="n">
        <v>0</v>
      </c>
      <c r="Q246" s="8" t="n">
        <v>0</v>
      </c>
      <c r="R246" s="8" t="n">
        <v>4</v>
      </c>
      <c r="S246" s="8" t="n">
        <v>0</v>
      </c>
      <c r="T246" s="8" t="n">
        <v>0</v>
      </c>
      <c r="U246" s="8" t="n">
        <v>0</v>
      </c>
      <c r="V246" s="8" t="n">
        <v>0</v>
      </c>
      <c r="W246" s="8" t="n">
        <v>3</v>
      </c>
      <c r="X246" s="8" t="n">
        <v>0</v>
      </c>
      <c r="Y246" s="8" t="n">
        <v>4</v>
      </c>
      <c r="Z246" s="8" t="n">
        <v>950</v>
      </c>
      <c r="AA246" s="8" t="n">
        <v>300</v>
      </c>
      <c r="AB246" s="8" t="n">
        <v>120</v>
      </c>
      <c r="AC246" s="8" t="n">
        <v>0</v>
      </c>
      <c r="AD246" s="8" t="n">
        <v>0</v>
      </c>
      <c r="AE246" s="8" t="n">
        <v>7</v>
      </c>
      <c r="AF246" s="8" t="n">
        <v>3</v>
      </c>
      <c r="AG246" s="8" t="n">
        <v>3</v>
      </c>
      <c r="AH246" s="8" t="n">
        <v>1</v>
      </c>
      <c r="AI246" s="8" t="n">
        <v>0</v>
      </c>
      <c r="AJ246" s="8" t="n">
        <v>0</v>
      </c>
      <c r="AK246" s="8" t="n">
        <v>0</v>
      </c>
      <c r="AL246" s="8" t="n">
        <v>0</v>
      </c>
      <c r="AM246" s="8" t="n">
        <v>0</v>
      </c>
      <c r="AN246" s="8" t="n">
        <v>0</v>
      </c>
      <c r="AO246" s="8" t="n">
        <v>0</v>
      </c>
      <c r="AP246" s="8" t="n">
        <v>1</v>
      </c>
      <c r="AQ246" s="8" t="n">
        <v>0</v>
      </c>
      <c r="AR246" s="8" t="n">
        <v>0</v>
      </c>
      <c r="AS246" s="8" t="n">
        <v>0</v>
      </c>
      <c r="AT246" s="8" t="n">
        <v>1</v>
      </c>
      <c r="AU246" s="8" t="n">
        <v>0</v>
      </c>
      <c r="AV246" s="8" t="n">
        <v>15</v>
      </c>
      <c r="AW246" s="8" t="n">
        <v>0</v>
      </c>
      <c r="AX246" s="8" t="n">
        <v>20</v>
      </c>
      <c r="AY246" s="8" t="n">
        <v>0</v>
      </c>
      <c r="AZ246" s="8" t="n">
        <v>0</v>
      </c>
      <c r="BA246" s="8" t="n">
        <v>0</v>
      </c>
      <c r="BB246" s="8" t="n">
        <v>0</v>
      </c>
      <c r="BC246" s="8" t="n">
        <v>3</v>
      </c>
      <c r="BD246" s="8" t="n">
        <v>0</v>
      </c>
      <c r="BE246" s="8" t="n">
        <v>0</v>
      </c>
      <c r="BF246" s="8" t="n">
        <v>1</v>
      </c>
      <c r="BG246" s="8" t="n">
        <v>0</v>
      </c>
      <c r="BH246" s="8" t="n">
        <v>400</v>
      </c>
      <c r="BI246" s="8" t="n">
        <v>0</v>
      </c>
      <c r="BJ246" s="8" t="n">
        <v>0</v>
      </c>
      <c r="BK246" s="8" t="n">
        <v>7</v>
      </c>
      <c r="BL246" s="8" t="n">
        <v>3</v>
      </c>
      <c r="BM246" s="8" t="n">
        <v>16</v>
      </c>
      <c r="BN246" s="8" t="n">
        <v>3</v>
      </c>
      <c r="BO246" s="8" t="n">
        <v>0</v>
      </c>
      <c r="BP246" s="8" t="n">
        <v>0</v>
      </c>
      <c r="BQ246" s="8" t="n">
        <v>0</v>
      </c>
      <c r="BR246" s="8" t="n">
        <v>0</v>
      </c>
      <c r="BS246" s="8" t="n">
        <v>0</v>
      </c>
      <c r="BT246" s="8" t="n">
        <v>0</v>
      </c>
      <c r="BU246" s="8" t="n">
        <v>0</v>
      </c>
      <c r="BV246" s="8" t="n">
        <v>0</v>
      </c>
      <c r="BW246" s="8" t="n">
        <v>10</v>
      </c>
      <c r="BX246" s="8" t="n">
        <v>0</v>
      </c>
      <c r="BY246" s="8" t="n">
        <v>0</v>
      </c>
      <c r="BZ246" s="8" t="n">
        <v>0</v>
      </c>
      <c r="CA246" s="8" t="n">
        <v>8</v>
      </c>
      <c r="CB246" s="8" t="n">
        <v>0</v>
      </c>
      <c r="CC246" s="8" t="n">
        <v>8</v>
      </c>
      <c r="CD246" s="8" t="n">
        <v>0</v>
      </c>
      <c r="CE246" s="8" t="n">
        <v>0</v>
      </c>
    </row>
    <row r="247">
      <c r="A247" s="15" t="inlineStr">
        <is>
          <t>2026-06-15</t>
        </is>
      </c>
      <c r="B247" s="11" t="n">
        <v>0</v>
      </c>
      <c r="C247" s="11" t="n">
        <v>0</v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  <c r="P247" s="11" t="n">
        <v>0</v>
      </c>
      <c r="Q247" s="11" t="n">
        <v>0</v>
      </c>
      <c r="R247" s="11" t="n">
        <v>4</v>
      </c>
      <c r="S247" s="11" t="n">
        <v>0</v>
      </c>
      <c r="T247" s="11" t="n">
        <v>0</v>
      </c>
      <c r="U247" s="11" t="n">
        <v>0</v>
      </c>
      <c r="V247" s="11" t="n">
        <v>0</v>
      </c>
      <c r="W247" s="11" t="n">
        <v>3</v>
      </c>
      <c r="X247" s="11" t="n">
        <v>0</v>
      </c>
      <c r="Y247" s="11" t="n">
        <v>8</v>
      </c>
      <c r="Z247" s="11" t="n">
        <v>950</v>
      </c>
      <c r="AA247" s="11" t="n">
        <v>300</v>
      </c>
      <c r="AB247" s="11" t="n">
        <v>120</v>
      </c>
      <c r="AC247" s="11" t="n">
        <v>0</v>
      </c>
      <c r="AD247" s="11" t="n">
        <v>0</v>
      </c>
      <c r="AE247" s="11" t="n">
        <v>7</v>
      </c>
      <c r="AF247" s="11" t="n">
        <v>3</v>
      </c>
      <c r="AG247" s="11" t="n">
        <v>3</v>
      </c>
      <c r="AH247" s="11" t="n">
        <v>1</v>
      </c>
      <c r="AI247" s="11" t="n">
        <v>0</v>
      </c>
      <c r="AJ247" s="11" t="n">
        <v>0</v>
      </c>
      <c r="AK247" s="11" t="n">
        <v>0</v>
      </c>
      <c r="AL247" s="11" t="n">
        <v>0</v>
      </c>
      <c r="AM247" s="11" t="n">
        <v>0</v>
      </c>
      <c r="AN247" s="11" t="n">
        <v>0</v>
      </c>
      <c r="AO247" s="11" t="n">
        <v>0</v>
      </c>
      <c r="AP247" s="11" t="n">
        <v>1</v>
      </c>
      <c r="AQ247" s="11" t="n">
        <v>0</v>
      </c>
      <c r="AR247" s="11" t="n">
        <v>0</v>
      </c>
      <c r="AS247" s="11" t="n">
        <v>0</v>
      </c>
      <c r="AT247" s="11" t="n">
        <v>0</v>
      </c>
      <c r="AU247" s="11" t="n">
        <v>0</v>
      </c>
      <c r="AV247" s="11" t="n">
        <v>15</v>
      </c>
      <c r="AW247" s="11" t="n">
        <v>0</v>
      </c>
      <c r="AX247" s="11" t="n">
        <v>20</v>
      </c>
      <c r="AY247" s="11" t="n">
        <v>0</v>
      </c>
      <c r="AZ247" s="11" t="n">
        <v>0</v>
      </c>
      <c r="BA247" s="11" t="n">
        <v>0</v>
      </c>
      <c r="BB247" s="11" t="n">
        <v>0</v>
      </c>
      <c r="BC247" s="11" t="n">
        <v>3</v>
      </c>
      <c r="BD247" s="11" t="n">
        <v>0</v>
      </c>
      <c r="BE247" s="11" t="n">
        <v>0</v>
      </c>
      <c r="BF247" s="11" t="n">
        <v>1</v>
      </c>
      <c r="BG247" s="11" t="n">
        <v>0</v>
      </c>
      <c r="BH247" s="11" t="n">
        <v>400</v>
      </c>
      <c r="BI247" s="11" t="n">
        <v>0</v>
      </c>
      <c r="BJ247" s="11" t="n">
        <v>0</v>
      </c>
      <c r="BK247" s="11" t="n">
        <v>7</v>
      </c>
      <c r="BL247" s="11" t="n">
        <v>3</v>
      </c>
      <c r="BM247" s="11" t="n">
        <v>16</v>
      </c>
      <c r="BN247" s="11" t="n">
        <v>3</v>
      </c>
      <c r="BO247" s="11" t="n">
        <v>0</v>
      </c>
      <c r="BP247" s="11" t="n">
        <v>0</v>
      </c>
      <c r="BQ247" s="11" t="n">
        <v>0</v>
      </c>
      <c r="BR247" s="11" t="n">
        <v>0</v>
      </c>
      <c r="BS247" s="11" t="n">
        <v>0</v>
      </c>
      <c r="BT247" s="11" t="n">
        <v>0</v>
      </c>
      <c r="BU247" s="11" t="n">
        <v>0</v>
      </c>
      <c r="BV247" s="11" t="n">
        <v>0</v>
      </c>
      <c r="BW247" s="11" t="n">
        <v>10</v>
      </c>
      <c r="BX247" s="11" t="n">
        <v>0</v>
      </c>
      <c r="BY247" s="11" t="n">
        <v>0</v>
      </c>
      <c r="BZ247" s="11" t="n">
        <v>0</v>
      </c>
      <c r="CA247" s="11" t="n">
        <v>10</v>
      </c>
      <c r="CB247" s="11" t="n">
        <v>0</v>
      </c>
      <c r="CC247" s="11" t="n">
        <v>8</v>
      </c>
      <c r="CD247" s="11" t="n">
        <v>0</v>
      </c>
      <c r="CE247" s="11" t="n">
        <v>0</v>
      </c>
    </row>
    <row r="248">
      <c r="A248" s="14" t="inlineStr">
        <is>
          <t>2026-06-16</t>
        </is>
      </c>
      <c r="B248" s="8" t="n">
        <v>0</v>
      </c>
      <c r="C248" s="8" t="n">
        <v>0</v>
      </c>
      <c r="D248" s="8" t="n">
        <v>0</v>
      </c>
      <c r="E248" s="8" t="n">
        <v>0</v>
      </c>
      <c r="F248" s="8" t="n">
        <v>0</v>
      </c>
      <c r="G248" s="8" t="n">
        <v>0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0</v>
      </c>
      <c r="M248" s="8" t="n">
        <v>0</v>
      </c>
      <c r="N248" s="8" t="n">
        <v>0</v>
      </c>
      <c r="O248" s="8" t="n">
        <v>0</v>
      </c>
      <c r="P248" s="8" t="n">
        <v>0</v>
      </c>
      <c r="Q248" s="8" t="n">
        <v>0</v>
      </c>
      <c r="R248" s="8" t="n">
        <v>4</v>
      </c>
      <c r="S248" s="8" t="n">
        <v>0</v>
      </c>
      <c r="T248" s="8" t="n">
        <v>0</v>
      </c>
      <c r="U248" s="8" t="n">
        <v>0</v>
      </c>
      <c r="V248" s="8" t="n">
        <v>0</v>
      </c>
      <c r="W248" s="8" t="n">
        <v>3</v>
      </c>
      <c r="X248" s="8" t="n">
        <v>0</v>
      </c>
      <c r="Y248" s="8" t="n">
        <v>8</v>
      </c>
      <c r="Z248" s="8" t="n">
        <v>950</v>
      </c>
      <c r="AA248" s="8" t="n">
        <v>300</v>
      </c>
      <c r="AB248" s="8" t="n">
        <v>120</v>
      </c>
      <c r="AC248" s="8" t="n">
        <v>0</v>
      </c>
      <c r="AD248" s="8" t="n">
        <v>0</v>
      </c>
      <c r="AE248" s="8" t="n">
        <v>7</v>
      </c>
      <c r="AF248" s="8" t="n">
        <v>3</v>
      </c>
      <c r="AG248" s="8" t="n">
        <v>3</v>
      </c>
      <c r="AH248" s="8" t="n">
        <v>1</v>
      </c>
      <c r="AI248" s="8" t="n">
        <v>0</v>
      </c>
      <c r="AJ248" s="8" t="n">
        <v>0</v>
      </c>
      <c r="AK248" s="8" t="n">
        <v>0</v>
      </c>
      <c r="AL248" s="8" t="n">
        <v>0</v>
      </c>
      <c r="AM248" s="8" t="n">
        <v>0</v>
      </c>
      <c r="AN248" s="8" t="n">
        <v>0</v>
      </c>
      <c r="AO248" s="8" t="n">
        <v>0</v>
      </c>
      <c r="AP248" s="8" t="n">
        <v>1</v>
      </c>
      <c r="AQ248" s="8" t="n">
        <v>0</v>
      </c>
      <c r="AR248" s="8" t="n">
        <v>0</v>
      </c>
      <c r="AS248" s="8" t="n">
        <v>0</v>
      </c>
      <c r="AT248" s="8" t="n">
        <v>0</v>
      </c>
      <c r="AU248" s="8" t="n">
        <v>0</v>
      </c>
      <c r="AV248" s="8" t="n">
        <v>15</v>
      </c>
      <c r="AW248" s="8" t="n">
        <v>0</v>
      </c>
      <c r="AX248" s="8" t="n">
        <v>20</v>
      </c>
      <c r="AY248" s="8" t="n">
        <v>0</v>
      </c>
      <c r="AZ248" s="8" t="n">
        <v>0</v>
      </c>
      <c r="BA248" s="8" t="n">
        <v>0</v>
      </c>
      <c r="BB248" s="8" t="n">
        <v>0</v>
      </c>
      <c r="BC248" s="8" t="n">
        <v>3</v>
      </c>
      <c r="BD248" s="8" t="n">
        <v>0</v>
      </c>
      <c r="BE248" s="8" t="n">
        <v>0</v>
      </c>
      <c r="BF248" s="8" t="n">
        <v>1</v>
      </c>
      <c r="BG248" s="8" t="n">
        <v>0</v>
      </c>
      <c r="BH248" s="8" t="n">
        <v>400</v>
      </c>
      <c r="BI248" s="8" t="n">
        <v>0</v>
      </c>
      <c r="BJ248" s="8" t="n">
        <v>0</v>
      </c>
      <c r="BK248" s="8" t="n">
        <v>7</v>
      </c>
      <c r="BL248" s="8" t="n">
        <v>3</v>
      </c>
      <c r="BM248" s="8" t="n">
        <v>16</v>
      </c>
      <c r="BN248" s="8" t="n">
        <v>3</v>
      </c>
      <c r="BO248" s="8" t="n">
        <v>0</v>
      </c>
      <c r="BP248" s="8" t="n">
        <v>0</v>
      </c>
      <c r="BQ248" s="8" t="n">
        <v>0</v>
      </c>
      <c r="BR248" s="8" t="n">
        <v>0</v>
      </c>
      <c r="BS248" s="8" t="n">
        <v>0</v>
      </c>
      <c r="BT248" s="8" t="n">
        <v>0</v>
      </c>
      <c r="BU248" s="8" t="n">
        <v>0</v>
      </c>
      <c r="BV248" s="8" t="n">
        <v>0</v>
      </c>
      <c r="BW248" s="8" t="n">
        <v>10</v>
      </c>
      <c r="BX248" s="8" t="n">
        <v>0</v>
      </c>
      <c r="BY248" s="8" t="n">
        <v>0</v>
      </c>
      <c r="BZ248" s="8" t="n">
        <v>0</v>
      </c>
      <c r="CA248" s="8" t="n">
        <v>10</v>
      </c>
      <c r="CB248" s="8" t="n">
        <v>0</v>
      </c>
      <c r="CC248" s="8" t="n">
        <v>8</v>
      </c>
      <c r="CD248" s="8" t="n">
        <v>0</v>
      </c>
      <c r="CE248" s="8" t="n">
        <v>0</v>
      </c>
    </row>
    <row r="249">
      <c r="A249" s="15" t="inlineStr">
        <is>
          <t>2026-06-17</t>
        </is>
      </c>
      <c r="B249" s="11" t="n">
        <v>0</v>
      </c>
      <c r="C249" s="11" t="n">
        <v>0</v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  <c r="P249" s="11" t="n">
        <v>0</v>
      </c>
      <c r="Q249" s="11" t="n">
        <v>0</v>
      </c>
      <c r="R249" s="11" t="n">
        <v>4</v>
      </c>
      <c r="S249" s="11" t="n">
        <v>0</v>
      </c>
      <c r="T249" s="11" t="n">
        <v>0</v>
      </c>
      <c r="U249" s="11" t="n">
        <v>0</v>
      </c>
      <c r="V249" s="11" t="n">
        <v>0</v>
      </c>
      <c r="W249" s="11" t="n">
        <v>3</v>
      </c>
      <c r="X249" s="11" t="n">
        <v>0</v>
      </c>
      <c r="Y249" s="11" t="n">
        <v>8</v>
      </c>
      <c r="Z249" s="11" t="n">
        <v>950</v>
      </c>
      <c r="AA249" s="11" t="n">
        <v>300</v>
      </c>
      <c r="AB249" s="11" t="n">
        <v>120</v>
      </c>
      <c r="AC249" s="11" t="n">
        <v>0</v>
      </c>
      <c r="AD249" s="11" t="n">
        <v>0</v>
      </c>
      <c r="AE249" s="11" t="n">
        <v>7</v>
      </c>
      <c r="AF249" s="11" t="n">
        <v>3</v>
      </c>
      <c r="AG249" s="11" t="n">
        <v>3</v>
      </c>
      <c r="AH249" s="11" t="n">
        <v>1</v>
      </c>
      <c r="AI249" s="11" t="n">
        <v>0</v>
      </c>
      <c r="AJ249" s="11" t="n">
        <v>0</v>
      </c>
      <c r="AK249" s="11" t="n">
        <v>0</v>
      </c>
      <c r="AL249" s="11" t="n">
        <v>0</v>
      </c>
      <c r="AM249" s="11" t="n">
        <v>0</v>
      </c>
      <c r="AN249" s="11" t="n">
        <v>0</v>
      </c>
      <c r="AO249" s="11" t="n">
        <v>0</v>
      </c>
      <c r="AP249" s="11" t="n">
        <v>1</v>
      </c>
      <c r="AQ249" s="11" t="n">
        <v>0</v>
      </c>
      <c r="AR249" s="11" t="n">
        <v>0</v>
      </c>
      <c r="AS249" s="11" t="n">
        <v>0</v>
      </c>
      <c r="AT249" s="11" t="n">
        <v>0</v>
      </c>
      <c r="AU249" s="11" t="n">
        <v>0</v>
      </c>
      <c r="AV249" s="11" t="n">
        <v>15</v>
      </c>
      <c r="AW249" s="11" t="n">
        <v>0</v>
      </c>
      <c r="AX249" s="11" t="n">
        <v>20</v>
      </c>
      <c r="AY249" s="11" t="n">
        <v>0</v>
      </c>
      <c r="AZ249" s="11" t="n">
        <v>0</v>
      </c>
      <c r="BA249" s="11" t="n">
        <v>0</v>
      </c>
      <c r="BB249" s="11" t="n">
        <v>0</v>
      </c>
      <c r="BC249" s="11" t="n">
        <v>3</v>
      </c>
      <c r="BD249" s="11" t="n">
        <v>0</v>
      </c>
      <c r="BE249" s="11" t="n">
        <v>0</v>
      </c>
      <c r="BF249" s="11" t="n">
        <v>1</v>
      </c>
      <c r="BG249" s="11" t="n">
        <v>0</v>
      </c>
      <c r="BH249" s="11" t="n">
        <v>400</v>
      </c>
      <c r="BI249" s="11" t="n">
        <v>0</v>
      </c>
      <c r="BJ249" s="11" t="n">
        <v>0</v>
      </c>
      <c r="BK249" s="11" t="n">
        <v>7</v>
      </c>
      <c r="BL249" s="11" t="n">
        <v>3</v>
      </c>
      <c r="BM249" s="11" t="n">
        <v>16</v>
      </c>
      <c r="BN249" s="11" t="n">
        <v>3</v>
      </c>
      <c r="BO249" s="11" t="n">
        <v>0</v>
      </c>
      <c r="BP249" s="11" t="n">
        <v>0</v>
      </c>
      <c r="BQ249" s="11" t="n">
        <v>0</v>
      </c>
      <c r="BR249" s="11" t="n">
        <v>0</v>
      </c>
      <c r="BS249" s="11" t="n">
        <v>0</v>
      </c>
      <c r="BT249" s="11" t="n">
        <v>0</v>
      </c>
      <c r="BU249" s="11" t="n">
        <v>0</v>
      </c>
      <c r="BV249" s="11" t="n">
        <v>0</v>
      </c>
      <c r="BW249" s="11" t="n">
        <v>10</v>
      </c>
      <c r="BX249" s="11" t="n">
        <v>0</v>
      </c>
      <c r="BY249" s="11" t="n">
        <v>0</v>
      </c>
      <c r="BZ249" s="11" t="n">
        <v>0</v>
      </c>
      <c r="CA249" s="11" t="n">
        <v>10</v>
      </c>
      <c r="CB249" s="11" t="n">
        <v>0</v>
      </c>
      <c r="CC249" s="11" t="n">
        <v>8</v>
      </c>
      <c r="CD249" s="11" t="n">
        <v>0</v>
      </c>
      <c r="CE249" s="11" t="n">
        <v>0</v>
      </c>
    </row>
    <row r="250">
      <c r="A250" s="14" t="inlineStr">
        <is>
          <t>2026-06-18</t>
        </is>
      </c>
      <c r="B250" s="8" t="n">
        <v>0</v>
      </c>
      <c r="C250" s="8" t="n">
        <v>0</v>
      </c>
      <c r="D250" s="8" t="n">
        <v>0</v>
      </c>
      <c r="E250" s="8" t="n">
        <v>0</v>
      </c>
      <c r="F250" s="8" t="n">
        <v>0</v>
      </c>
      <c r="G250" s="8" t="n">
        <v>0</v>
      </c>
      <c r="H250" s="8" t="n">
        <v>0</v>
      </c>
      <c r="I250" s="8" t="n">
        <v>0</v>
      </c>
      <c r="J250" s="8" t="n">
        <v>0</v>
      </c>
      <c r="K250" s="8" t="n">
        <v>0</v>
      </c>
      <c r="L250" s="8" t="n">
        <v>0</v>
      </c>
      <c r="M250" s="8" t="n">
        <v>0</v>
      </c>
      <c r="N250" s="8" t="n">
        <v>0</v>
      </c>
      <c r="O250" s="8" t="n">
        <v>6</v>
      </c>
      <c r="P250" s="8" t="n">
        <v>0</v>
      </c>
      <c r="Q250" s="8" t="n">
        <v>0</v>
      </c>
      <c r="R250" s="8" t="n">
        <v>4</v>
      </c>
      <c r="S250" s="8" t="n">
        <v>0</v>
      </c>
      <c r="T250" s="8" t="n">
        <v>0</v>
      </c>
      <c r="U250" s="8" t="n">
        <v>0</v>
      </c>
      <c r="V250" s="8" t="n">
        <v>0</v>
      </c>
      <c r="W250" s="8" t="n">
        <v>3</v>
      </c>
      <c r="X250" s="8" t="n">
        <v>0</v>
      </c>
      <c r="Y250" s="8" t="n">
        <v>8</v>
      </c>
      <c r="Z250" s="8" t="n">
        <v>950</v>
      </c>
      <c r="AA250" s="8" t="n">
        <v>300</v>
      </c>
      <c r="AB250" s="8" t="n">
        <v>120</v>
      </c>
      <c r="AC250" s="8" t="n">
        <v>0</v>
      </c>
      <c r="AD250" s="8" t="n">
        <v>0</v>
      </c>
      <c r="AE250" s="8" t="n">
        <v>7</v>
      </c>
      <c r="AF250" s="8" t="n">
        <v>0</v>
      </c>
      <c r="AG250" s="8" t="n">
        <v>3</v>
      </c>
      <c r="AH250" s="8" t="n">
        <v>0</v>
      </c>
      <c r="AI250" s="8" t="n">
        <v>0</v>
      </c>
      <c r="AJ250" s="8" t="n">
        <v>5</v>
      </c>
      <c r="AK250" s="8" t="n">
        <v>0</v>
      </c>
      <c r="AL250" s="8" t="n">
        <v>0</v>
      </c>
      <c r="AM250" s="8" t="n">
        <v>0</v>
      </c>
      <c r="AN250" s="8" t="n">
        <v>0</v>
      </c>
      <c r="AO250" s="8" t="n">
        <v>0</v>
      </c>
      <c r="AP250" s="8" t="n">
        <v>0</v>
      </c>
      <c r="AQ250" s="8" t="n">
        <v>0</v>
      </c>
      <c r="AR250" s="8" t="n">
        <v>0</v>
      </c>
      <c r="AS250" s="8" t="n">
        <v>0</v>
      </c>
      <c r="AT250" s="8" t="n">
        <v>0</v>
      </c>
      <c r="AU250" s="8" t="n">
        <v>0</v>
      </c>
      <c r="AV250" s="8" t="n">
        <v>15</v>
      </c>
      <c r="AW250" s="8" t="n">
        <v>0</v>
      </c>
      <c r="AX250" s="8" t="n">
        <v>20</v>
      </c>
      <c r="AY250" s="8" t="n">
        <v>0</v>
      </c>
      <c r="AZ250" s="8" t="n">
        <v>0</v>
      </c>
      <c r="BA250" s="8" t="n">
        <v>0</v>
      </c>
      <c r="BB250" s="8" t="n">
        <v>0</v>
      </c>
      <c r="BC250" s="8" t="n">
        <v>3</v>
      </c>
      <c r="BD250" s="8" t="n">
        <v>0</v>
      </c>
      <c r="BE250" s="8" t="n">
        <v>0</v>
      </c>
      <c r="BF250" s="8" t="n">
        <v>1</v>
      </c>
      <c r="BG250" s="8" t="n">
        <v>0</v>
      </c>
      <c r="BH250" s="8" t="n">
        <v>400</v>
      </c>
      <c r="BI250" s="8" t="n">
        <v>0</v>
      </c>
      <c r="BJ250" s="8" t="n">
        <v>0</v>
      </c>
      <c r="BK250" s="8" t="n">
        <v>7</v>
      </c>
      <c r="BL250" s="8" t="n">
        <v>0</v>
      </c>
      <c r="BM250" s="8" t="n">
        <v>16</v>
      </c>
      <c r="BN250" s="8" t="n">
        <v>0</v>
      </c>
      <c r="BO250" s="8" t="n">
        <v>0</v>
      </c>
      <c r="BP250" s="8" t="n">
        <v>0</v>
      </c>
      <c r="BQ250" s="8" t="n">
        <v>0</v>
      </c>
      <c r="BR250" s="8" t="n">
        <v>0</v>
      </c>
      <c r="BS250" s="8" t="n">
        <v>0</v>
      </c>
      <c r="BT250" s="8" t="n">
        <v>0</v>
      </c>
      <c r="BU250" s="8" t="n">
        <v>0</v>
      </c>
      <c r="BV250" s="8" t="n">
        <v>0</v>
      </c>
      <c r="BW250" s="8" t="n">
        <v>10</v>
      </c>
      <c r="BX250" s="8" t="n">
        <v>0</v>
      </c>
      <c r="BY250" s="8" t="n">
        <v>0</v>
      </c>
      <c r="BZ250" s="8" t="n">
        <v>0</v>
      </c>
      <c r="CA250" s="8" t="n">
        <v>10</v>
      </c>
      <c r="CB250" s="8" t="n">
        <v>0</v>
      </c>
      <c r="CC250" s="8" t="n">
        <v>16</v>
      </c>
      <c r="CD250" s="8" t="n">
        <v>0</v>
      </c>
      <c r="CE250" s="8" t="n">
        <v>0</v>
      </c>
    </row>
    <row r="251">
      <c r="A251" s="15" t="inlineStr">
        <is>
          <t>2026-06-19</t>
        </is>
      </c>
      <c r="B251" s="11" t="n">
        <v>0</v>
      </c>
      <c r="C251" s="11" t="n">
        <v>0</v>
      </c>
      <c r="D251" s="11" t="n">
        <v>0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6</v>
      </c>
      <c r="P251" s="11" t="n">
        <v>0</v>
      </c>
      <c r="Q251" s="11" t="n">
        <v>0</v>
      </c>
      <c r="R251" s="11" t="n">
        <v>4</v>
      </c>
      <c r="S251" s="11" t="n">
        <v>0</v>
      </c>
      <c r="T251" s="11" t="n">
        <v>0</v>
      </c>
      <c r="U251" s="11" t="n">
        <v>0</v>
      </c>
      <c r="V251" s="11" t="n">
        <v>0</v>
      </c>
      <c r="W251" s="11" t="n">
        <v>3</v>
      </c>
      <c r="X251" s="11" t="n">
        <v>0</v>
      </c>
      <c r="Y251" s="11" t="n">
        <v>8</v>
      </c>
      <c r="Z251" s="11" t="n">
        <v>950</v>
      </c>
      <c r="AA251" s="11" t="n">
        <v>300</v>
      </c>
      <c r="AB251" s="11" t="n">
        <v>120</v>
      </c>
      <c r="AC251" s="11" t="n">
        <v>0</v>
      </c>
      <c r="AD251" s="11" t="n">
        <v>0</v>
      </c>
      <c r="AE251" s="11" t="n">
        <v>7</v>
      </c>
      <c r="AF251" s="11" t="n">
        <v>0</v>
      </c>
      <c r="AG251" s="11" t="n">
        <v>3</v>
      </c>
      <c r="AH251" s="11" t="n">
        <v>0</v>
      </c>
      <c r="AI251" s="11" t="n">
        <v>0</v>
      </c>
      <c r="AJ251" s="11" t="n">
        <v>5</v>
      </c>
      <c r="AK251" s="11" t="n">
        <v>0</v>
      </c>
      <c r="AL251" s="11" t="n">
        <v>0</v>
      </c>
      <c r="AM251" s="11" t="n">
        <v>0</v>
      </c>
      <c r="AN251" s="11" t="n">
        <v>0</v>
      </c>
      <c r="AO251" s="11" t="n">
        <v>0</v>
      </c>
      <c r="AP251" s="11" t="n">
        <v>0</v>
      </c>
      <c r="AQ251" s="11" t="n">
        <v>0</v>
      </c>
      <c r="AR251" s="11" t="n">
        <v>0</v>
      </c>
      <c r="AS251" s="11" t="n">
        <v>0</v>
      </c>
      <c r="AT251" s="11" t="n">
        <v>0</v>
      </c>
      <c r="AU251" s="11" t="n">
        <v>0</v>
      </c>
      <c r="AV251" s="11" t="n">
        <v>15</v>
      </c>
      <c r="AW251" s="11" t="n">
        <v>0</v>
      </c>
      <c r="AX251" s="11" t="n">
        <v>20</v>
      </c>
      <c r="AY251" s="11" t="n">
        <v>0</v>
      </c>
      <c r="AZ251" s="11" t="n">
        <v>0</v>
      </c>
      <c r="BA251" s="11" t="n">
        <v>0</v>
      </c>
      <c r="BB251" s="11" t="n">
        <v>0</v>
      </c>
      <c r="BC251" s="11" t="n">
        <v>3</v>
      </c>
      <c r="BD251" s="11" t="n">
        <v>0</v>
      </c>
      <c r="BE251" s="11" t="n">
        <v>0</v>
      </c>
      <c r="BF251" s="11" t="n">
        <v>1</v>
      </c>
      <c r="BG251" s="11" t="n">
        <v>0</v>
      </c>
      <c r="BH251" s="11" t="n">
        <v>400</v>
      </c>
      <c r="BI251" s="11" t="n">
        <v>0</v>
      </c>
      <c r="BJ251" s="11" t="n">
        <v>0</v>
      </c>
      <c r="BK251" s="11" t="n">
        <v>7</v>
      </c>
      <c r="BL251" s="11" t="n">
        <v>0</v>
      </c>
      <c r="BM251" s="11" t="n">
        <v>16</v>
      </c>
      <c r="BN251" s="11" t="n">
        <v>0</v>
      </c>
      <c r="BO251" s="11" t="n">
        <v>0</v>
      </c>
      <c r="BP251" s="11" t="n">
        <v>0</v>
      </c>
      <c r="BQ251" s="11" t="n">
        <v>0</v>
      </c>
      <c r="BR251" s="11" t="n">
        <v>0</v>
      </c>
      <c r="BS251" s="11" t="n">
        <v>0</v>
      </c>
      <c r="BT251" s="11" t="n">
        <v>0</v>
      </c>
      <c r="BU251" s="11" t="n">
        <v>0</v>
      </c>
      <c r="BV251" s="11" t="n">
        <v>0</v>
      </c>
      <c r="BW251" s="11" t="n">
        <v>10</v>
      </c>
      <c r="BX251" s="11" t="n">
        <v>0</v>
      </c>
      <c r="BY251" s="11" t="n">
        <v>0</v>
      </c>
      <c r="BZ251" s="11" t="n">
        <v>0</v>
      </c>
      <c r="CA251" s="11" t="n">
        <v>10</v>
      </c>
      <c r="CB251" s="11" t="n">
        <v>0</v>
      </c>
      <c r="CC251" s="11" t="n">
        <v>16</v>
      </c>
      <c r="CD251" s="11" t="n">
        <v>0</v>
      </c>
      <c r="CE251" s="11" t="n">
        <v>0</v>
      </c>
    </row>
    <row r="252">
      <c r="A252" s="14" t="inlineStr">
        <is>
          <t>2026-06-22</t>
        </is>
      </c>
      <c r="B252" s="8" t="n">
        <v>0</v>
      </c>
      <c r="C252" s="8" t="n">
        <v>0</v>
      </c>
      <c r="D252" s="8" t="n">
        <v>0</v>
      </c>
      <c r="E252" s="8" t="n">
        <v>0</v>
      </c>
      <c r="F252" s="8" t="n">
        <v>0</v>
      </c>
      <c r="G252" s="8" t="n">
        <v>0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0</v>
      </c>
      <c r="M252" s="8" t="n">
        <v>0</v>
      </c>
      <c r="N252" s="8" t="n">
        <v>0</v>
      </c>
      <c r="O252" s="8" t="n">
        <v>6</v>
      </c>
      <c r="P252" s="8" t="n">
        <v>0</v>
      </c>
      <c r="Q252" s="8" t="n">
        <v>0</v>
      </c>
      <c r="R252" s="8" t="n">
        <v>4</v>
      </c>
      <c r="S252" s="8" t="n">
        <v>0</v>
      </c>
      <c r="T252" s="8" t="n">
        <v>0</v>
      </c>
      <c r="U252" s="8" t="n">
        <v>0</v>
      </c>
      <c r="V252" s="8" t="n">
        <v>0</v>
      </c>
      <c r="W252" s="8" t="n">
        <v>3</v>
      </c>
      <c r="X252" s="8" t="n">
        <v>0</v>
      </c>
      <c r="Y252" s="8" t="n">
        <v>10</v>
      </c>
      <c r="Z252" s="8" t="n">
        <v>950</v>
      </c>
      <c r="AA252" s="8" t="n">
        <v>300</v>
      </c>
      <c r="AB252" s="8" t="n">
        <v>120</v>
      </c>
      <c r="AC252" s="8" t="n">
        <v>0</v>
      </c>
      <c r="AD252" s="8" t="n">
        <v>0</v>
      </c>
      <c r="AE252" s="8" t="n">
        <v>7</v>
      </c>
      <c r="AF252" s="8" t="n">
        <v>0</v>
      </c>
      <c r="AG252" s="8" t="n">
        <v>3</v>
      </c>
      <c r="AH252" s="8" t="n">
        <v>0</v>
      </c>
      <c r="AI252" s="8" t="n">
        <v>0</v>
      </c>
      <c r="AJ252" s="8" t="n">
        <v>5</v>
      </c>
      <c r="AK252" s="8" t="n">
        <v>0</v>
      </c>
      <c r="AL252" s="8" t="n">
        <v>0</v>
      </c>
      <c r="AM252" s="8" t="n">
        <v>0</v>
      </c>
      <c r="AN252" s="8" t="n">
        <v>0</v>
      </c>
      <c r="AO252" s="8" t="n">
        <v>0</v>
      </c>
      <c r="AP252" s="8" t="n">
        <v>0</v>
      </c>
      <c r="AQ252" s="8" t="n">
        <v>0</v>
      </c>
      <c r="AR252" s="8" t="n">
        <v>0</v>
      </c>
      <c r="AS252" s="8" t="n">
        <v>0</v>
      </c>
      <c r="AT252" s="8" t="n">
        <v>0</v>
      </c>
      <c r="AU252" s="8" t="n">
        <v>0</v>
      </c>
      <c r="AV252" s="8" t="n">
        <v>15</v>
      </c>
      <c r="AW252" s="8" t="n">
        <v>0</v>
      </c>
      <c r="AX252" s="8" t="n">
        <v>20</v>
      </c>
      <c r="AY252" s="8" t="n">
        <v>0</v>
      </c>
      <c r="AZ252" s="8" t="n">
        <v>0</v>
      </c>
      <c r="BA252" s="8" t="n">
        <v>0</v>
      </c>
      <c r="BB252" s="8" t="n">
        <v>0</v>
      </c>
      <c r="BC252" s="8" t="n">
        <v>3</v>
      </c>
      <c r="BD252" s="8" t="n">
        <v>0</v>
      </c>
      <c r="BE252" s="8" t="n">
        <v>0</v>
      </c>
      <c r="BF252" s="8" t="n">
        <v>1</v>
      </c>
      <c r="BG252" s="8" t="n">
        <v>0</v>
      </c>
      <c r="BH252" s="8" t="n">
        <v>400</v>
      </c>
      <c r="BI252" s="8" t="n">
        <v>0</v>
      </c>
      <c r="BJ252" s="8" t="n">
        <v>0</v>
      </c>
      <c r="BK252" s="8" t="n">
        <v>7</v>
      </c>
      <c r="BL252" s="8" t="n">
        <v>0</v>
      </c>
      <c r="BM252" s="8" t="n">
        <v>16</v>
      </c>
      <c r="BN252" s="8" t="n">
        <v>0</v>
      </c>
      <c r="BO252" s="8" t="n">
        <v>0</v>
      </c>
      <c r="BP252" s="8" t="n">
        <v>0</v>
      </c>
      <c r="BQ252" s="8" t="n">
        <v>0</v>
      </c>
      <c r="BR252" s="8" t="n">
        <v>0</v>
      </c>
      <c r="BS252" s="8" t="n">
        <v>0</v>
      </c>
      <c r="BT252" s="8" t="n">
        <v>0</v>
      </c>
      <c r="BU252" s="8" t="n">
        <v>0</v>
      </c>
      <c r="BV252" s="8" t="n">
        <v>0</v>
      </c>
      <c r="BW252" s="8" t="n">
        <v>10</v>
      </c>
      <c r="BX252" s="8" t="n">
        <v>0</v>
      </c>
      <c r="BY252" s="8" t="n">
        <v>0</v>
      </c>
      <c r="BZ252" s="8" t="n">
        <v>0</v>
      </c>
      <c r="CA252" s="8" t="n">
        <v>10</v>
      </c>
      <c r="CB252" s="8" t="n">
        <v>0</v>
      </c>
      <c r="CC252" s="8" t="n">
        <v>16</v>
      </c>
      <c r="CD252" s="8" t="n">
        <v>0</v>
      </c>
      <c r="CE252" s="8" t="n">
        <v>0</v>
      </c>
    </row>
    <row r="253">
      <c r="A253" s="15" t="inlineStr">
        <is>
          <t>2026-06-23</t>
        </is>
      </c>
      <c r="B253" s="11" t="n">
        <v>0</v>
      </c>
      <c r="C253" s="11" t="n">
        <v>0</v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6</v>
      </c>
      <c r="P253" s="11" t="n">
        <v>0</v>
      </c>
      <c r="Q253" s="11" t="n">
        <v>0</v>
      </c>
      <c r="R253" s="11" t="n">
        <v>4</v>
      </c>
      <c r="S253" s="11" t="n">
        <v>0</v>
      </c>
      <c r="T253" s="11" t="n">
        <v>0</v>
      </c>
      <c r="U253" s="11" t="n">
        <v>0</v>
      </c>
      <c r="V253" s="11" t="n">
        <v>0</v>
      </c>
      <c r="W253" s="11" t="n">
        <v>3</v>
      </c>
      <c r="X253" s="11" t="n">
        <v>0</v>
      </c>
      <c r="Y253" s="11" t="n">
        <v>10</v>
      </c>
      <c r="Z253" s="11" t="n">
        <v>950</v>
      </c>
      <c r="AA253" s="11" t="n">
        <v>300</v>
      </c>
      <c r="AB253" s="11" t="n">
        <v>120</v>
      </c>
      <c r="AC253" s="11" t="n">
        <v>0</v>
      </c>
      <c r="AD253" s="11" t="n">
        <v>0</v>
      </c>
      <c r="AE253" s="11" t="n">
        <v>7</v>
      </c>
      <c r="AF253" s="11" t="n">
        <v>0</v>
      </c>
      <c r="AG253" s="11" t="n">
        <v>3</v>
      </c>
      <c r="AH253" s="11" t="n">
        <v>0</v>
      </c>
      <c r="AI253" s="11" t="n">
        <v>0</v>
      </c>
      <c r="AJ253" s="11" t="n">
        <v>10</v>
      </c>
      <c r="AK253" s="11" t="n">
        <v>0</v>
      </c>
      <c r="AL253" s="11" t="n">
        <v>0</v>
      </c>
      <c r="AM253" s="11" t="n">
        <v>0</v>
      </c>
      <c r="AN253" s="11" t="n">
        <v>0</v>
      </c>
      <c r="AO253" s="11" t="n">
        <v>0</v>
      </c>
      <c r="AP253" s="11" t="n">
        <v>0</v>
      </c>
      <c r="AQ253" s="11" t="n">
        <v>0</v>
      </c>
      <c r="AR253" s="11" t="n">
        <v>0</v>
      </c>
      <c r="AS253" s="11" t="n">
        <v>0</v>
      </c>
      <c r="AT253" s="11" t="n">
        <v>0</v>
      </c>
      <c r="AU253" s="11" t="n">
        <v>0</v>
      </c>
      <c r="AV253" s="11" t="n">
        <v>15</v>
      </c>
      <c r="AW253" s="11" t="n">
        <v>0</v>
      </c>
      <c r="AX253" s="11" t="n">
        <v>20</v>
      </c>
      <c r="AY253" s="11" t="n">
        <v>0</v>
      </c>
      <c r="AZ253" s="11" t="n">
        <v>0</v>
      </c>
      <c r="BA253" s="11" t="n">
        <v>0</v>
      </c>
      <c r="BB253" s="11" t="n">
        <v>0</v>
      </c>
      <c r="BC253" s="11" t="n">
        <v>3</v>
      </c>
      <c r="BD253" s="11" t="n">
        <v>0</v>
      </c>
      <c r="BE253" s="11" t="n">
        <v>0</v>
      </c>
      <c r="BF253" s="11" t="n">
        <v>1</v>
      </c>
      <c r="BG253" s="11" t="n">
        <v>0</v>
      </c>
      <c r="BH253" s="11" t="n">
        <v>400</v>
      </c>
      <c r="BI253" s="11" t="n">
        <v>0</v>
      </c>
      <c r="BJ253" s="11" t="n">
        <v>0</v>
      </c>
      <c r="BK253" s="11" t="n">
        <v>7</v>
      </c>
      <c r="BL253" s="11" t="n">
        <v>0</v>
      </c>
      <c r="BM253" s="11" t="n">
        <v>16</v>
      </c>
      <c r="BN253" s="11" t="n">
        <v>0</v>
      </c>
      <c r="BO253" s="11" t="n">
        <v>0</v>
      </c>
      <c r="BP253" s="11" t="n">
        <v>0</v>
      </c>
      <c r="BQ253" s="11" t="n">
        <v>0</v>
      </c>
      <c r="BR253" s="11" t="n">
        <v>0</v>
      </c>
      <c r="BS253" s="11" t="n">
        <v>0</v>
      </c>
      <c r="BT253" s="11" t="n">
        <v>0</v>
      </c>
      <c r="BU253" s="11" t="n">
        <v>0</v>
      </c>
      <c r="BV253" s="11" t="n">
        <v>0</v>
      </c>
      <c r="BW253" s="11" t="n">
        <v>10</v>
      </c>
      <c r="BX253" s="11" t="n">
        <v>0</v>
      </c>
      <c r="BY253" s="11" t="n">
        <v>0</v>
      </c>
      <c r="BZ253" s="11" t="n">
        <v>0</v>
      </c>
      <c r="CA253" s="11" t="n">
        <v>10</v>
      </c>
      <c r="CB253" s="11" t="n">
        <v>0</v>
      </c>
      <c r="CC253" s="11" t="n">
        <v>16</v>
      </c>
      <c r="CD253" s="11" t="n">
        <v>0</v>
      </c>
      <c r="CE253" s="11" t="n">
        <v>0</v>
      </c>
    </row>
    <row r="254">
      <c r="A254" s="14" t="inlineStr">
        <is>
          <t>2026-06-24</t>
        </is>
      </c>
      <c r="B254" s="8" t="n">
        <v>0</v>
      </c>
      <c r="C254" s="8" t="n">
        <v>0</v>
      </c>
      <c r="D254" s="8" t="n">
        <v>0</v>
      </c>
      <c r="E254" s="8" t="n">
        <v>0</v>
      </c>
      <c r="F254" s="8" t="n">
        <v>0</v>
      </c>
      <c r="G254" s="8" t="n">
        <v>0</v>
      </c>
      <c r="H254" s="8" t="n">
        <v>0</v>
      </c>
      <c r="I254" s="8" t="n">
        <v>0</v>
      </c>
      <c r="J254" s="8" t="n">
        <v>0</v>
      </c>
      <c r="K254" s="8" t="n">
        <v>0</v>
      </c>
      <c r="L254" s="8" t="n">
        <v>0</v>
      </c>
      <c r="M254" s="8" t="n">
        <v>0</v>
      </c>
      <c r="N254" s="8" t="n">
        <v>0</v>
      </c>
      <c r="O254" s="8" t="n">
        <v>6</v>
      </c>
      <c r="P254" s="8" t="n">
        <v>0</v>
      </c>
      <c r="Q254" s="8" t="n">
        <v>0</v>
      </c>
      <c r="R254" s="8" t="n">
        <v>4</v>
      </c>
      <c r="S254" s="8" t="n">
        <v>0</v>
      </c>
      <c r="T254" s="8" t="n">
        <v>0</v>
      </c>
      <c r="U254" s="8" t="n">
        <v>0</v>
      </c>
      <c r="V254" s="8" t="n">
        <v>0</v>
      </c>
      <c r="W254" s="8" t="n">
        <v>3</v>
      </c>
      <c r="X254" s="8" t="n">
        <v>0</v>
      </c>
      <c r="Y254" s="8" t="n">
        <v>10</v>
      </c>
      <c r="Z254" s="8" t="n">
        <v>950</v>
      </c>
      <c r="AA254" s="8" t="n">
        <v>300</v>
      </c>
      <c r="AB254" s="8" t="n">
        <v>120</v>
      </c>
      <c r="AC254" s="8" t="n">
        <v>0</v>
      </c>
      <c r="AD254" s="8" t="n">
        <v>0</v>
      </c>
      <c r="AE254" s="8" t="n">
        <v>7</v>
      </c>
      <c r="AF254" s="8" t="n">
        <v>0</v>
      </c>
      <c r="AG254" s="8" t="n">
        <v>3</v>
      </c>
      <c r="AH254" s="8" t="n">
        <v>0</v>
      </c>
      <c r="AI254" s="8" t="n">
        <v>0</v>
      </c>
      <c r="AJ254" s="8" t="n">
        <v>10</v>
      </c>
      <c r="AK254" s="8" t="n">
        <v>0</v>
      </c>
      <c r="AL254" s="8" t="n">
        <v>0</v>
      </c>
      <c r="AM254" s="8" t="n">
        <v>0</v>
      </c>
      <c r="AN254" s="8" t="n">
        <v>0</v>
      </c>
      <c r="AO254" s="8" t="n">
        <v>0</v>
      </c>
      <c r="AP254" s="8" t="n">
        <v>0</v>
      </c>
      <c r="AQ254" s="8" t="n">
        <v>0</v>
      </c>
      <c r="AR254" s="8" t="n">
        <v>0</v>
      </c>
      <c r="AS254" s="8" t="n">
        <v>0</v>
      </c>
      <c r="AT254" s="8" t="n">
        <v>0</v>
      </c>
      <c r="AU254" s="8" t="n">
        <v>0</v>
      </c>
      <c r="AV254" s="8" t="n">
        <v>15</v>
      </c>
      <c r="AW254" s="8" t="n">
        <v>0</v>
      </c>
      <c r="AX254" s="8" t="n">
        <v>20</v>
      </c>
      <c r="AY254" s="8" t="n">
        <v>0</v>
      </c>
      <c r="AZ254" s="8" t="n">
        <v>0</v>
      </c>
      <c r="BA254" s="8" t="n">
        <v>0</v>
      </c>
      <c r="BB254" s="8" t="n">
        <v>0</v>
      </c>
      <c r="BC254" s="8" t="n">
        <v>3</v>
      </c>
      <c r="BD254" s="8" t="n">
        <v>0</v>
      </c>
      <c r="BE254" s="8" t="n">
        <v>0</v>
      </c>
      <c r="BF254" s="8" t="n">
        <v>0</v>
      </c>
      <c r="BG254" s="8" t="n">
        <v>0</v>
      </c>
      <c r="BH254" s="8" t="n">
        <v>400</v>
      </c>
      <c r="BI254" s="8" t="n">
        <v>0</v>
      </c>
      <c r="BJ254" s="8" t="n">
        <v>0</v>
      </c>
      <c r="BK254" s="8" t="n">
        <v>7</v>
      </c>
      <c r="BL254" s="8" t="n">
        <v>0</v>
      </c>
      <c r="BM254" s="8" t="n">
        <v>16</v>
      </c>
      <c r="BN254" s="8" t="n">
        <v>0</v>
      </c>
      <c r="BO254" s="8" t="n">
        <v>0</v>
      </c>
      <c r="BP254" s="8" t="n">
        <v>0</v>
      </c>
      <c r="BQ254" s="8" t="n">
        <v>0</v>
      </c>
      <c r="BR254" s="8" t="n">
        <v>0</v>
      </c>
      <c r="BS254" s="8" t="n">
        <v>0</v>
      </c>
      <c r="BT254" s="8" t="n">
        <v>0</v>
      </c>
      <c r="BU254" s="8" t="n">
        <v>0</v>
      </c>
      <c r="BV254" s="8" t="n">
        <v>0</v>
      </c>
      <c r="BW254" s="8" t="n">
        <v>10</v>
      </c>
      <c r="BX254" s="8" t="n">
        <v>0</v>
      </c>
      <c r="BY254" s="8" t="n">
        <v>0</v>
      </c>
      <c r="BZ254" s="8" t="n">
        <v>0</v>
      </c>
      <c r="CA254" s="8" t="n">
        <v>10</v>
      </c>
      <c r="CB254" s="8" t="n">
        <v>0</v>
      </c>
      <c r="CC254" s="8" t="n">
        <v>16</v>
      </c>
      <c r="CD254" s="8" t="n">
        <v>0</v>
      </c>
      <c r="CE254" s="8" t="n">
        <v>0</v>
      </c>
    </row>
    <row r="255">
      <c r="A255" s="15" t="inlineStr">
        <is>
          <t>2026-06-25</t>
        </is>
      </c>
      <c r="B255" s="11" t="n">
        <v>0</v>
      </c>
      <c r="C255" s="11" t="n">
        <v>0</v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6</v>
      </c>
      <c r="P255" s="11" t="n">
        <v>0</v>
      </c>
      <c r="Q255" s="11" t="n">
        <v>0</v>
      </c>
      <c r="R255" s="11" t="n">
        <v>4</v>
      </c>
      <c r="S255" s="11" t="n">
        <v>0</v>
      </c>
      <c r="T255" s="11" t="n">
        <v>0</v>
      </c>
      <c r="U255" s="11" t="n">
        <v>0</v>
      </c>
      <c r="V255" s="11" t="n">
        <v>0</v>
      </c>
      <c r="W255" s="11" t="n">
        <v>0</v>
      </c>
      <c r="X255" s="11" t="n">
        <v>0</v>
      </c>
      <c r="Y255" s="11" t="n">
        <v>10</v>
      </c>
      <c r="Z255" s="11" t="n">
        <v>950</v>
      </c>
      <c r="AA255" s="11" t="n">
        <v>300</v>
      </c>
      <c r="AB255" s="11" t="n">
        <v>120</v>
      </c>
      <c r="AC255" s="11" t="n">
        <v>0</v>
      </c>
      <c r="AD255" s="11" t="n">
        <v>0</v>
      </c>
      <c r="AE255" s="11" t="n">
        <v>7</v>
      </c>
      <c r="AF255" s="11" t="n">
        <v>0</v>
      </c>
      <c r="AG255" s="11" t="n">
        <v>3</v>
      </c>
      <c r="AH255" s="11" t="n">
        <v>0</v>
      </c>
      <c r="AI255" s="11" t="n">
        <v>0</v>
      </c>
      <c r="AJ255" s="11" t="n">
        <v>10</v>
      </c>
      <c r="AK255" s="11" t="n">
        <v>0</v>
      </c>
      <c r="AL255" s="11" t="n">
        <v>0</v>
      </c>
      <c r="AM255" s="11" t="n">
        <v>0</v>
      </c>
      <c r="AN255" s="11" t="n">
        <v>0</v>
      </c>
      <c r="AO255" s="11" t="n">
        <v>0</v>
      </c>
      <c r="AP255" s="11" t="n">
        <v>0</v>
      </c>
      <c r="AQ255" s="11" t="n">
        <v>0</v>
      </c>
      <c r="AR255" s="11" t="n">
        <v>0</v>
      </c>
      <c r="AS255" s="11" t="n">
        <v>0</v>
      </c>
      <c r="AT255" s="11" t="n">
        <v>0</v>
      </c>
      <c r="AU255" s="11" t="n">
        <v>0</v>
      </c>
      <c r="AV255" s="11" t="n">
        <v>15</v>
      </c>
      <c r="AW255" s="11" t="n">
        <v>0</v>
      </c>
      <c r="AX255" s="11" t="n">
        <v>20</v>
      </c>
      <c r="AY255" s="11" t="n">
        <v>0</v>
      </c>
      <c r="AZ255" s="11" t="n">
        <v>0</v>
      </c>
      <c r="BA255" s="11" t="n">
        <v>0</v>
      </c>
      <c r="BB255" s="11" t="n">
        <v>0</v>
      </c>
      <c r="BC255" s="11" t="n">
        <v>3</v>
      </c>
      <c r="BD255" s="11" t="n">
        <v>0</v>
      </c>
      <c r="BE255" s="11" t="n">
        <v>0</v>
      </c>
      <c r="BF255" s="11" t="n">
        <v>0</v>
      </c>
      <c r="BG255" s="11" t="n">
        <v>0</v>
      </c>
      <c r="BH255" s="11" t="n">
        <v>400</v>
      </c>
      <c r="BI255" s="11" t="n">
        <v>0</v>
      </c>
      <c r="BJ255" s="11" t="n">
        <v>0</v>
      </c>
      <c r="BK255" s="11" t="n">
        <v>0</v>
      </c>
      <c r="BL255" s="11" t="n">
        <v>0</v>
      </c>
      <c r="BM255" s="11" t="n">
        <v>16</v>
      </c>
      <c r="BN255" s="11" t="n">
        <v>0</v>
      </c>
      <c r="BO255" s="11" t="n">
        <v>0</v>
      </c>
      <c r="BP255" s="11" t="n">
        <v>0</v>
      </c>
      <c r="BQ255" s="11" t="n">
        <v>0</v>
      </c>
      <c r="BR255" s="11" t="n">
        <v>0</v>
      </c>
      <c r="BS255" s="11" t="n">
        <v>0</v>
      </c>
      <c r="BT255" s="11" t="n">
        <v>0</v>
      </c>
      <c r="BU255" s="11" t="n">
        <v>0</v>
      </c>
      <c r="BV255" s="11" t="n">
        <v>0</v>
      </c>
      <c r="BW255" s="11" t="n">
        <v>10</v>
      </c>
      <c r="BX255" s="11" t="n">
        <v>0</v>
      </c>
      <c r="BY255" s="11" t="n">
        <v>0</v>
      </c>
      <c r="BZ255" s="11" t="n">
        <v>0</v>
      </c>
      <c r="CA255" s="11" t="n">
        <v>10</v>
      </c>
      <c r="CB255" s="11" t="n">
        <v>0</v>
      </c>
      <c r="CC255" s="11" t="n">
        <v>16</v>
      </c>
      <c r="CD255" s="11" t="n">
        <v>0</v>
      </c>
      <c r="CE255" s="11" t="n">
        <v>0</v>
      </c>
    </row>
    <row r="256">
      <c r="A256" s="14" t="inlineStr">
        <is>
          <t>2026-06-26</t>
        </is>
      </c>
      <c r="B256" s="8" t="n">
        <v>0</v>
      </c>
      <c r="C256" s="8" t="n">
        <v>0</v>
      </c>
      <c r="D256" s="8" t="n">
        <v>0</v>
      </c>
      <c r="E256" s="8" t="n">
        <v>0</v>
      </c>
      <c r="F256" s="8" t="n">
        <v>0</v>
      </c>
      <c r="G256" s="8" t="n">
        <v>0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0</v>
      </c>
      <c r="M256" s="8" t="n">
        <v>0</v>
      </c>
      <c r="N256" s="8" t="n">
        <v>0</v>
      </c>
      <c r="O256" s="8" t="n">
        <v>6</v>
      </c>
      <c r="P256" s="8" t="n">
        <v>0</v>
      </c>
      <c r="Q256" s="8" t="n">
        <v>0</v>
      </c>
      <c r="R256" s="8" t="n">
        <v>4</v>
      </c>
      <c r="S256" s="8" t="n">
        <v>0</v>
      </c>
      <c r="T256" s="8" t="n">
        <v>0</v>
      </c>
      <c r="U256" s="8" t="n">
        <v>0</v>
      </c>
      <c r="V256" s="8" t="n">
        <v>0</v>
      </c>
      <c r="W256" s="8" t="n">
        <v>0</v>
      </c>
      <c r="X256" s="8" t="n">
        <v>0</v>
      </c>
      <c r="Y256" s="8" t="n">
        <v>10</v>
      </c>
      <c r="Z256" s="8" t="n">
        <v>950</v>
      </c>
      <c r="AA256" s="8" t="n">
        <v>300</v>
      </c>
      <c r="AB256" s="8" t="n">
        <v>120</v>
      </c>
      <c r="AC256" s="8" t="n">
        <v>0</v>
      </c>
      <c r="AD256" s="8" t="n">
        <v>0</v>
      </c>
      <c r="AE256" s="8" t="n">
        <v>7</v>
      </c>
      <c r="AF256" s="8" t="n">
        <v>0</v>
      </c>
      <c r="AG256" s="8" t="n">
        <v>3</v>
      </c>
      <c r="AH256" s="8" t="n">
        <v>0</v>
      </c>
      <c r="AI256" s="8" t="n">
        <v>0</v>
      </c>
      <c r="AJ256" s="8" t="n">
        <v>10</v>
      </c>
      <c r="AK256" s="8" t="n">
        <v>0</v>
      </c>
      <c r="AL256" s="8" t="n">
        <v>0</v>
      </c>
      <c r="AM256" s="8" t="n">
        <v>0</v>
      </c>
      <c r="AN256" s="8" t="n">
        <v>0</v>
      </c>
      <c r="AO256" s="8" t="n">
        <v>0</v>
      </c>
      <c r="AP256" s="8" t="n">
        <v>0</v>
      </c>
      <c r="AQ256" s="8" t="n">
        <v>0</v>
      </c>
      <c r="AR256" s="8" t="n">
        <v>0</v>
      </c>
      <c r="AS256" s="8" t="n">
        <v>0</v>
      </c>
      <c r="AT256" s="8" t="n">
        <v>0</v>
      </c>
      <c r="AU256" s="8" t="n">
        <v>0</v>
      </c>
      <c r="AV256" s="8" t="n">
        <v>15</v>
      </c>
      <c r="AW256" s="8" t="n">
        <v>0</v>
      </c>
      <c r="AX256" s="8" t="n">
        <v>20</v>
      </c>
      <c r="AY256" s="8" t="n">
        <v>0</v>
      </c>
      <c r="AZ256" s="8" t="n">
        <v>0</v>
      </c>
      <c r="BA256" s="8" t="n">
        <v>0</v>
      </c>
      <c r="BB256" s="8" t="n">
        <v>0</v>
      </c>
      <c r="BC256" s="8" t="n">
        <v>3</v>
      </c>
      <c r="BD256" s="8" t="n">
        <v>0</v>
      </c>
      <c r="BE256" s="8" t="n">
        <v>0</v>
      </c>
      <c r="BF256" s="8" t="n">
        <v>0</v>
      </c>
      <c r="BG256" s="8" t="n">
        <v>0</v>
      </c>
      <c r="BH256" s="8" t="n">
        <v>400</v>
      </c>
      <c r="BI256" s="8" t="n">
        <v>0</v>
      </c>
      <c r="BJ256" s="8" t="n">
        <v>0</v>
      </c>
      <c r="BK256" s="8" t="n">
        <v>0</v>
      </c>
      <c r="BL256" s="8" t="n">
        <v>0</v>
      </c>
      <c r="BM256" s="8" t="n">
        <v>16</v>
      </c>
      <c r="BN256" s="8" t="n">
        <v>0</v>
      </c>
      <c r="BO256" s="8" t="n">
        <v>0</v>
      </c>
      <c r="BP256" s="8" t="n">
        <v>0</v>
      </c>
      <c r="BQ256" s="8" t="n">
        <v>0</v>
      </c>
      <c r="BR256" s="8" t="n">
        <v>0</v>
      </c>
      <c r="BS256" s="8" t="n">
        <v>0</v>
      </c>
      <c r="BT256" s="8" t="n">
        <v>0</v>
      </c>
      <c r="BU256" s="8" t="n">
        <v>0</v>
      </c>
      <c r="BV256" s="8" t="n">
        <v>0</v>
      </c>
      <c r="BW256" s="8" t="n">
        <v>10</v>
      </c>
      <c r="BX256" s="8" t="n">
        <v>0</v>
      </c>
      <c r="BY256" s="8" t="n">
        <v>0</v>
      </c>
      <c r="BZ256" s="8" t="n">
        <v>0</v>
      </c>
      <c r="CA256" s="8" t="n">
        <v>10</v>
      </c>
      <c r="CB256" s="8" t="n">
        <v>0</v>
      </c>
      <c r="CC256" s="8" t="n">
        <v>16</v>
      </c>
      <c r="CD256" s="8" t="n">
        <v>0</v>
      </c>
      <c r="CE256" s="8" t="n">
        <v>0</v>
      </c>
    </row>
    <row r="257">
      <c r="A257" s="15" t="inlineStr">
        <is>
          <t>2026-06-29</t>
        </is>
      </c>
      <c r="B257" s="11" t="n">
        <v>0</v>
      </c>
      <c r="C257" s="11" t="n">
        <v>0</v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6</v>
      </c>
      <c r="P257" s="11" t="n">
        <v>0</v>
      </c>
      <c r="Q257" s="11" t="n">
        <v>0</v>
      </c>
      <c r="R257" s="11" t="n">
        <v>4</v>
      </c>
      <c r="S257" s="11" t="n">
        <v>0</v>
      </c>
      <c r="T257" s="11" t="n">
        <v>0</v>
      </c>
      <c r="U257" s="11" t="n">
        <v>0</v>
      </c>
      <c r="V257" s="11" t="n">
        <v>0</v>
      </c>
      <c r="W257" s="11" t="n">
        <v>0</v>
      </c>
      <c r="X257" s="11" t="n">
        <v>0</v>
      </c>
      <c r="Y257" s="11" t="n">
        <v>12</v>
      </c>
      <c r="Z257" s="11" t="n">
        <v>950</v>
      </c>
      <c r="AA257" s="11" t="n">
        <v>300</v>
      </c>
      <c r="AB257" s="11" t="n">
        <v>120</v>
      </c>
      <c r="AC257" s="11" t="n">
        <v>0</v>
      </c>
      <c r="AD257" s="11" t="n">
        <v>0</v>
      </c>
      <c r="AE257" s="11" t="n">
        <v>7</v>
      </c>
      <c r="AF257" s="11" t="n">
        <v>0</v>
      </c>
      <c r="AG257" s="11" t="n">
        <v>5</v>
      </c>
      <c r="AH257" s="11" t="n">
        <v>0</v>
      </c>
      <c r="AI257" s="11" t="n">
        <v>0</v>
      </c>
      <c r="AJ257" s="11" t="n">
        <v>10</v>
      </c>
      <c r="AK257" s="11" t="n">
        <v>0</v>
      </c>
      <c r="AL257" s="11" t="n">
        <v>0</v>
      </c>
      <c r="AM257" s="11" t="n">
        <v>0</v>
      </c>
      <c r="AN257" s="11" t="n">
        <v>0</v>
      </c>
      <c r="AO257" s="11" t="n">
        <v>0</v>
      </c>
      <c r="AP257" s="11" t="n">
        <v>0</v>
      </c>
      <c r="AQ257" s="11" t="n">
        <v>0</v>
      </c>
      <c r="AR257" s="11" t="n">
        <v>0</v>
      </c>
      <c r="AS257" s="11" t="n">
        <v>0</v>
      </c>
      <c r="AT257" s="11" t="n">
        <v>0</v>
      </c>
      <c r="AU257" s="11" t="n">
        <v>0</v>
      </c>
      <c r="AV257" s="11" t="n">
        <v>15</v>
      </c>
      <c r="AW257" s="11" t="n">
        <v>0</v>
      </c>
      <c r="AX257" s="11" t="n">
        <v>20</v>
      </c>
      <c r="AY257" s="11" t="n">
        <v>0</v>
      </c>
      <c r="AZ257" s="11" t="n">
        <v>0</v>
      </c>
      <c r="BA257" s="11" t="n">
        <v>0</v>
      </c>
      <c r="BB257" s="11" t="n">
        <v>7</v>
      </c>
      <c r="BC257" s="11" t="n">
        <v>3</v>
      </c>
      <c r="BD257" s="11" t="n">
        <v>0</v>
      </c>
      <c r="BE257" s="11" t="n">
        <v>0</v>
      </c>
      <c r="BF257" s="11" t="n">
        <v>0</v>
      </c>
      <c r="BG257" s="11" t="n">
        <v>0</v>
      </c>
      <c r="BH257" s="11" t="n">
        <v>400</v>
      </c>
      <c r="BI257" s="11" t="n">
        <v>0</v>
      </c>
      <c r="BJ257" s="11" t="n">
        <v>0</v>
      </c>
      <c r="BK257" s="11" t="n">
        <v>0</v>
      </c>
      <c r="BL257" s="11" t="n">
        <v>0</v>
      </c>
      <c r="BM257" s="11" t="n">
        <v>20</v>
      </c>
      <c r="BN257" s="11" t="n">
        <v>0</v>
      </c>
      <c r="BO257" s="11" t="n">
        <v>0</v>
      </c>
      <c r="BP257" s="11" t="n">
        <v>0</v>
      </c>
      <c r="BQ257" s="11" t="n">
        <v>0</v>
      </c>
      <c r="BR257" s="11" t="n">
        <v>8</v>
      </c>
      <c r="BS257" s="11" t="n">
        <v>0</v>
      </c>
      <c r="BT257" s="11" t="n">
        <v>0</v>
      </c>
      <c r="BU257" s="11" t="n">
        <v>0</v>
      </c>
      <c r="BV257" s="11" t="n">
        <v>0</v>
      </c>
      <c r="BW257" s="11" t="n">
        <v>10</v>
      </c>
      <c r="BX257" s="11" t="n">
        <v>0</v>
      </c>
      <c r="BY257" s="11" t="n">
        <v>0</v>
      </c>
      <c r="BZ257" s="11" t="n">
        <v>0</v>
      </c>
      <c r="CA257" s="11" t="n">
        <v>18</v>
      </c>
      <c r="CB257" s="11" t="n">
        <v>0</v>
      </c>
      <c r="CC257" s="11" t="n">
        <v>16</v>
      </c>
      <c r="CD257" s="11" t="n">
        <v>0</v>
      </c>
      <c r="CE257" s="11" t="n">
        <v>0</v>
      </c>
    </row>
    <row r="258">
      <c r="A258" s="14" t="inlineStr">
        <is>
          <t>2026-06-30</t>
        </is>
      </c>
      <c r="B258" s="8" t="n">
        <v>0</v>
      </c>
      <c r="C258" s="8" t="n">
        <v>0</v>
      </c>
      <c r="D258" s="8" t="n">
        <v>0</v>
      </c>
      <c r="E258" s="8" t="n">
        <v>0</v>
      </c>
      <c r="F258" s="8" t="n">
        <v>0</v>
      </c>
      <c r="G258" s="8" t="n">
        <v>0</v>
      </c>
      <c r="H258" s="8" t="n">
        <v>0</v>
      </c>
      <c r="I258" s="8" t="n">
        <v>0</v>
      </c>
      <c r="J258" s="8" t="n">
        <v>0</v>
      </c>
      <c r="K258" s="8" t="n">
        <v>0</v>
      </c>
      <c r="L258" s="8" t="n">
        <v>0</v>
      </c>
      <c r="M258" s="8" t="n">
        <v>0</v>
      </c>
      <c r="N258" s="8" t="n">
        <v>0</v>
      </c>
      <c r="O258" s="8" t="n">
        <v>6</v>
      </c>
      <c r="P258" s="8" t="n">
        <v>0</v>
      </c>
      <c r="Q258" s="8" t="n">
        <v>0</v>
      </c>
      <c r="R258" s="8" t="n">
        <v>4</v>
      </c>
      <c r="S258" s="8" t="n">
        <v>0</v>
      </c>
      <c r="T258" s="8" t="n">
        <v>0</v>
      </c>
      <c r="U258" s="8" t="n">
        <v>0</v>
      </c>
      <c r="V258" s="8" t="n">
        <v>0</v>
      </c>
      <c r="W258" s="8" t="n">
        <v>0</v>
      </c>
      <c r="X258" s="8" t="n">
        <v>0</v>
      </c>
      <c r="Y258" s="8" t="n">
        <v>12</v>
      </c>
      <c r="Z258" s="8" t="n">
        <v>950</v>
      </c>
      <c r="AA258" s="8" t="n">
        <v>300</v>
      </c>
      <c r="AB258" s="8" t="n">
        <v>120</v>
      </c>
      <c r="AC258" s="8" t="n">
        <v>0</v>
      </c>
      <c r="AD258" s="8" t="n">
        <v>0</v>
      </c>
      <c r="AE258" s="8" t="n">
        <v>7</v>
      </c>
      <c r="AF258" s="8" t="n">
        <v>0</v>
      </c>
      <c r="AG258" s="8" t="n">
        <v>5</v>
      </c>
      <c r="AH258" s="8" t="n">
        <v>0</v>
      </c>
      <c r="AI258" s="8" t="n">
        <v>0</v>
      </c>
      <c r="AJ258" s="8" t="n">
        <v>10</v>
      </c>
      <c r="AK258" s="8" t="n">
        <v>0</v>
      </c>
      <c r="AL258" s="8" t="n">
        <v>0</v>
      </c>
      <c r="AM258" s="8" t="n">
        <v>0</v>
      </c>
      <c r="AN258" s="8" t="n">
        <v>0</v>
      </c>
      <c r="AO258" s="8" t="n">
        <v>0</v>
      </c>
      <c r="AP258" s="8" t="n">
        <v>0</v>
      </c>
      <c r="AQ258" s="8" t="n">
        <v>0</v>
      </c>
      <c r="AR258" s="8" t="n">
        <v>0</v>
      </c>
      <c r="AS258" s="8" t="n">
        <v>0</v>
      </c>
      <c r="AT258" s="8" t="n">
        <v>0</v>
      </c>
      <c r="AU258" s="8" t="n">
        <v>0</v>
      </c>
      <c r="AV258" s="8" t="n">
        <v>15</v>
      </c>
      <c r="AW258" s="8" t="n">
        <v>0</v>
      </c>
      <c r="AX258" s="8" t="n">
        <v>20</v>
      </c>
      <c r="AY258" s="8" t="n">
        <v>0</v>
      </c>
      <c r="AZ258" s="8" t="n">
        <v>0</v>
      </c>
      <c r="BA258" s="8" t="n">
        <v>0</v>
      </c>
      <c r="BB258" s="8" t="n">
        <v>7</v>
      </c>
      <c r="BC258" s="8" t="n">
        <v>3</v>
      </c>
      <c r="BD258" s="8" t="n">
        <v>0</v>
      </c>
      <c r="BE258" s="8" t="n">
        <v>0</v>
      </c>
      <c r="BF258" s="8" t="n">
        <v>0</v>
      </c>
      <c r="BG258" s="8" t="n">
        <v>0</v>
      </c>
      <c r="BH258" s="8" t="n">
        <v>400</v>
      </c>
      <c r="BI258" s="8" t="n">
        <v>0</v>
      </c>
      <c r="BJ258" s="8" t="n">
        <v>0</v>
      </c>
      <c r="BK258" s="8" t="n">
        <v>0</v>
      </c>
      <c r="BL258" s="8" t="n">
        <v>0</v>
      </c>
      <c r="BM258" s="8" t="n">
        <v>20</v>
      </c>
      <c r="BN258" s="8" t="n">
        <v>0</v>
      </c>
      <c r="BO258" s="8" t="n">
        <v>0</v>
      </c>
      <c r="BP258" s="8" t="n">
        <v>0</v>
      </c>
      <c r="BQ258" s="8" t="n">
        <v>0</v>
      </c>
      <c r="BR258" s="8" t="n">
        <v>8</v>
      </c>
      <c r="BS258" s="8" t="n">
        <v>0</v>
      </c>
      <c r="BT258" s="8" t="n">
        <v>0</v>
      </c>
      <c r="BU258" s="8" t="n">
        <v>0</v>
      </c>
      <c r="BV258" s="8" t="n">
        <v>0</v>
      </c>
      <c r="BW258" s="8" t="n">
        <v>10</v>
      </c>
      <c r="BX258" s="8" t="n">
        <v>0</v>
      </c>
      <c r="BY258" s="8" t="n">
        <v>0</v>
      </c>
      <c r="BZ258" s="8" t="n">
        <v>0</v>
      </c>
      <c r="CA258" s="8" t="n">
        <v>18</v>
      </c>
      <c r="CB258" s="8" t="n">
        <v>0</v>
      </c>
      <c r="CC258" s="8" t="n">
        <v>16</v>
      </c>
      <c r="CD258" s="8" t="n">
        <v>0</v>
      </c>
      <c r="CE258" s="8" t="n">
        <v>0</v>
      </c>
    </row>
    <row r="259">
      <c r="A259" s="15" t="inlineStr">
        <is>
          <t>2026-07-01</t>
        </is>
      </c>
      <c r="B259" s="11" t="n">
        <v>0</v>
      </c>
      <c r="C259" s="11" t="n">
        <v>0</v>
      </c>
      <c r="D259" s="11" t="n">
        <v>0</v>
      </c>
      <c r="E259" s="11" t="n">
        <v>0</v>
      </c>
      <c r="F259" s="11" t="n">
        <v>0</v>
      </c>
      <c r="G259" s="11" t="n">
        <v>0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6</v>
      </c>
      <c r="P259" s="11" t="n">
        <v>0</v>
      </c>
      <c r="Q259" s="11" t="n">
        <v>0</v>
      </c>
      <c r="R259" s="11" t="n">
        <v>4</v>
      </c>
      <c r="S259" s="11" t="n">
        <v>0</v>
      </c>
      <c r="T259" s="11" t="n">
        <v>0</v>
      </c>
      <c r="U259" s="11" t="n">
        <v>0</v>
      </c>
      <c r="V259" s="11" t="n">
        <v>0</v>
      </c>
      <c r="W259" s="11" t="n">
        <v>0</v>
      </c>
      <c r="X259" s="11" t="n">
        <v>0</v>
      </c>
      <c r="Y259" s="11" t="n">
        <v>12</v>
      </c>
      <c r="Z259" s="11" t="n">
        <v>950</v>
      </c>
      <c r="AA259" s="11" t="n">
        <v>300</v>
      </c>
      <c r="AB259" s="11" t="n">
        <v>120</v>
      </c>
      <c r="AC259" s="11" t="n">
        <v>0</v>
      </c>
      <c r="AD259" s="11" t="n">
        <v>0</v>
      </c>
      <c r="AE259" s="11" t="n">
        <v>7</v>
      </c>
      <c r="AF259" s="11" t="n">
        <v>0</v>
      </c>
      <c r="AG259" s="11" t="n">
        <v>5</v>
      </c>
      <c r="AH259" s="11" t="n">
        <v>0</v>
      </c>
      <c r="AI259" s="11" t="n">
        <v>0</v>
      </c>
      <c r="AJ259" s="11" t="n">
        <v>10</v>
      </c>
      <c r="AK259" s="11" t="n">
        <v>0</v>
      </c>
      <c r="AL259" s="11" t="n">
        <v>0</v>
      </c>
      <c r="AM259" s="11" t="n">
        <v>0</v>
      </c>
      <c r="AN259" s="11" t="n">
        <v>0</v>
      </c>
      <c r="AO259" s="11" t="n">
        <v>0</v>
      </c>
      <c r="AP259" s="11" t="n">
        <v>0</v>
      </c>
      <c r="AQ259" s="11" t="n">
        <v>0</v>
      </c>
      <c r="AR259" s="11" t="n">
        <v>0</v>
      </c>
      <c r="AS259" s="11" t="n">
        <v>0</v>
      </c>
      <c r="AT259" s="11" t="n">
        <v>0</v>
      </c>
      <c r="AU259" s="11" t="n">
        <v>0</v>
      </c>
      <c r="AV259" s="11" t="n">
        <v>15</v>
      </c>
      <c r="AW259" s="11" t="n">
        <v>0</v>
      </c>
      <c r="AX259" s="11" t="n">
        <v>20</v>
      </c>
      <c r="AY259" s="11" t="n">
        <v>0</v>
      </c>
      <c r="AZ259" s="11" t="n">
        <v>0</v>
      </c>
      <c r="BA259" s="11" t="n">
        <v>0</v>
      </c>
      <c r="BB259" s="11" t="n">
        <v>7</v>
      </c>
      <c r="BC259" s="11" t="n">
        <v>6</v>
      </c>
      <c r="BD259" s="11" t="n">
        <v>0</v>
      </c>
      <c r="BE259" s="11" t="n">
        <v>0</v>
      </c>
      <c r="BF259" s="11" t="n">
        <v>0</v>
      </c>
      <c r="BG259" s="11" t="n">
        <v>0</v>
      </c>
      <c r="BH259" s="11" t="n">
        <v>400</v>
      </c>
      <c r="BI259" s="11" t="n">
        <v>0</v>
      </c>
      <c r="BJ259" s="11" t="n">
        <v>0</v>
      </c>
      <c r="BK259" s="11" t="n">
        <v>0</v>
      </c>
      <c r="BL259" s="11" t="n">
        <v>0</v>
      </c>
      <c r="BM259" s="11" t="n">
        <v>20</v>
      </c>
      <c r="BN259" s="11" t="n">
        <v>0</v>
      </c>
      <c r="BO259" s="11" t="n">
        <v>0</v>
      </c>
      <c r="BP259" s="11" t="n">
        <v>0</v>
      </c>
      <c r="BQ259" s="11" t="n">
        <v>0</v>
      </c>
      <c r="BR259" s="11" t="n">
        <v>8</v>
      </c>
      <c r="BS259" s="11" t="n">
        <v>0</v>
      </c>
      <c r="BT259" s="11" t="n">
        <v>0</v>
      </c>
      <c r="BU259" s="11" t="n">
        <v>0</v>
      </c>
      <c r="BV259" s="11" t="n">
        <v>0</v>
      </c>
      <c r="BW259" s="11" t="n">
        <v>10</v>
      </c>
      <c r="BX259" s="11" t="n">
        <v>0</v>
      </c>
      <c r="BY259" s="11" t="n">
        <v>0</v>
      </c>
      <c r="BZ259" s="11" t="n">
        <v>0</v>
      </c>
      <c r="CA259" s="11" t="n">
        <v>18</v>
      </c>
      <c r="CB259" s="11" t="n">
        <v>0</v>
      </c>
      <c r="CC259" s="11" t="n">
        <v>16</v>
      </c>
      <c r="CD259" s="11" t="n">
        <v>0</v>
      </c>
      <c r="CE259" s="11" t="n">
        <v>0</v>
      </c>
    </row>
    <row r="260">
      <c r="A260" s="14" t="inlineStr">
        <is>
          <t>2026-07-02</t>
        </is>
      </c>
      <c r="B260" s="8" t="n">
        <v>0</v>
      </c>
      <c r="C260" s="8" t="n">
        <v>0</v>
      </c>
      <c r="D260" s="8" t="n">
        <v>0</v>
      </c>
      <c r="E260" s="8" t="n">
        <v>0</v>
      </c>
      <c r="F260" s="8" t="n">
        <v>0</v>
      </c>
      <c r="G260" s="8" t="n">
        <v>0</v>
      </c>
      <c r="H260" s="8" t="n">
        <v>0</v>
      </c>
      <c r="I260" s="8" t="n">
        <v>0</v>
      </c>
      <c r="J260" s="8" t="n">
        <v>0</v>
      </c>
      <c r="K260" s="8" t="n">
        <v>0</v>
      </c>
      <c r="L260" s="8" t="n">
        <v>0</v>
      </c>
      <c r="M260" s="8" t="n">
        <v>0</v>
      </c>
      <c r="N260" s="8" t="n">
        <v>0</v>
      </c>
      <c r="O260" s="8" t="n">
        <v>6</v>
      </c>
      <c r="P260" s="8" t="n">
        <v>0</v>
      </c>
      <c r="Q260" s="8" t="n">
        <v>0</v>
      </c>
      <c r="R260" s="8" t="n">
        <v>4</v>
      </c>
      <c r="S260" s="8" t="n">
        <v>0</v>
      </c>
      <c r="T260" s="8" t="n">
        <v>0</v>
      </c>
      <c r="U260" s="8" t="n">
        <v>0</v>
      </c>
      <c r="V260" s="8" t="n">
        <v>0</v>
      </c>
      <c r="W260" s="8" t="n">
        <v>0</v>
      </c>
      <c r="X260" s="8" t="n">
        <v>0</v>
      </c>
      <c r="Y260" s="8" t="n">
        <v>12</v>
      </c>
      <c r="Z260" s="8" t="n">
        <v>950</v>
      </c>
      <c r="AA260" s="8" t="n">
        <v>300</v>
      </c>
      <c r="AB260" s="8" t="n">
        <v>120</v>
      </c>
      <c r="AC260" s="8" t="n">
        <v>0</v>
      </c>
      <c r="AD260" s="8" t="n">
        <v>0</v>
      </c>
      <c r="AE260" s="8" t="n">
        <v>7</v>
      </c>
      <c r="AF260" s="8" t="n">
        <v>0</v>
      </c>
      <c r="AG260" s="8" t="n">
        <v>5</v>
      </c>
      <c r="AH260" s="8" t="n">
        <v>0</v>
      </c>
      <c r="AI260" s="8" t="n">
        <v>0</v>
      </c>
      <c r="AJ260" s="8" t="n">
        <v>10</v>
      </c>
      <c r="AK260" s="8" t="n">
        <v>0</v>
      </c>
      <c r="AL260" s="8" t="n">
        <v>0</v>
      </c>
      <c r="AM260" s="8" t="n">
        <v>0</v>
      </c>
      <c r="AN260" s="8" t="n">
        <v>0</v>
      </c>
      <c r="AO260" s="8" t="n">
        <v>0</v>
      </c>
      <c r="AP260" s="8" t="n">
        <v>0</v>
      </c>
      <c r="AQ260" s="8" t="n">
        <v>0</v>
      </c>
      <c r="AR260" s="8" t="n">
        <v>0</v>
      </c>
      <c r="AS260" s="8" t="n">
        <v>0</v>
      </c>
      <c r="AT260" s="8" t="n">
        <v>0</v>
      </c>
      <c r="AU260" s="8" t="n">
        <v>0</v>
      </c>
      <c r="AV260" s="8" t="n">
        <v>0</v>
      </c>
      <c r="AW260" s="8" t="n">
        <v>0</v>
      </c>
      <c r="AX260" s="8" t="n">
        <v>20</v>
      </c>
      <c r="AY260" s="8" t="n">
        <v>0</v>
      </c>
      <c r="AZ260" s="8" t="n">
        <v>0</v>
      </c>
      <c r="BA260" s="8" t="n">
        <v>0</v>
      </c>
      <c r="BB260" s="8" t="n">
        <v>7</v>
      </c>
      <c r="BC260" s="8" t="n">
        <v>6</v>
      </c>
      <c r="BD260" s="8" t="n">
        <v>0</v>
      </c>
      <c r="BE260" s="8" t="n">
        <v>0</v>
      </c>
      <c r="BF260" s="8" t="n">
        <v>0</v>
      </c>
      <c r="BG260" s="8" t="n">
        <v>0</v>
      </c>
      <c r="BH260" s="8" t="n">
        <v>400</v>
      </c>
      <c r="BI260" s="8" t="n">
        <v>0</v>
      </c>
      <c r="BJ260" s="8" t="n">
        <v>0</v>
      </c>
      <c r="BK260" s="8" t="n">
        <v>0</v>
      </c>
      <c r="BL260" s="8" t="n">
        <v>0</v>
      </c>
      <c r="BM260" s="8" t="n">
        <v>20</v>
      </c>
      <c r="BN260" s="8" t="n">
        <v>0</v>
      </c>
      <c r="BO260" s="8" t="n">
        <v>0</v>
      </c>
      <c r="BP260" s="8" t="n">
        <v>0</v>
      </c>
      <c r="BQ260" s="8" t="n">
        <v>0</v>
      </c>
      <c r="BR260" s="8" t="n">
        <v>8</v>
      </c>
      <c r="BS260" s="8" t="n">
        <v>0</v>
      </c>
      <c r="BT260" s="8" t="n">
        <v>0</v>
      </c>
      <c r="BU260" s="8" t="n">
        <v>0</v>
      </c>
      <c r="BV260" s="8" t="n">
        <v>0</v>
      </c>
      <c r="BW260" s="8" t="n">
        <v>10</v>
      </c>
      <c r="BX260" s="8" t="n">
        <v>0</v>
      </c>
      <c r="BY260" s="8" t="n">
        <v>0</v>
      </c>
      <c r="BZ260" s="8" t="n">
        <v>0</v>
      </c>
      <c r="CA260" s="8" t="n">
        <v>18</v>
      </c>
      <c r="CB260" s="8" t="n">
        <v>0</v>
      </c>
      <c r="CC260" s="8" t="n">
        <v>10</v>
      </c>
      <c r="CD260" s="8" t="n">
        <v>0</v>
      </c>
      <c r="CE260" s="8" t="n">
        <v>0</v>
      </c>
    </row>
    <row r="261">
      <c r="A261" s="15" t="inlineStr">
        <is>
          <t>2026-07-03</t>
        </is>
      </c>
      <c r="B261" s="11" t="n">
        <v>0</v>
      </c>
      <c r="C261" s="11" t="n">
        <v>0</v>
      </c>
      <c r="D261" s="11" t="n">
        <v>0</v>
      </c>
      <c r="E261" s="11" t="n">
        <v>0</v>
      </c>
      <c r="F261" s="11" t="n">
        <v>0</v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6</v>
      </c>
      <c r="P261" s="11" t="n">
        <v>0</v>
      </c>
      <c r="Q261" s="11" t="n">
        <v>0</v>
      </c>
      <c r="R261" s="11" t="n">
        <v>4</v>
      </c>
      <c r="S261" s="11" t="n">
        <v>0</v>
      </c>
      <c r="T261" s="11" t="n">
        <v>0</v>
      </c>
      <c r="U261" s="11" t="n">
        <v>0</v>
      </c>
      <c r="V261" s="11" t="n">
        <v>0</v>
      </c>
      <c r="W261" s="11" t="n">
        <v>0</v>
      </c>
      <c r="X261" s="11" t="n">
        <v>0</v>
      </c>
      <c r="Y261" s="11" t="n">
        <v>12</v>
      </c>
      <c r="Z261" s="11" t="n">
        <v>950</v>
      </c>
      <c r="AA261" s="11" t="n">
        <v>300</v>
      </c>
      <c r="AB261" s="11" t="n">
        <v>120</v>
      </c>
      <c r="AC261" s="11" t="n">
        <v>0</v>
      </c>
      <c r="AD261" s="11" t="n">
        <v>0</v>
      </c>
      <c r="AE261" s="11" t="n">
        <v>7</v>
      </c>
      <c r="AF261" s="11" t="n">
        <v>0</v>
      </c>
      <c r="AG261" s="11" t="n">
        <v>5</v>
      </c>
      <c r="AH261" s="11" t="n">
        <v>0</v>
      </c>
      <c r="AI261" s="11" t="n">
        <v>0</v>
      </c>
      <c r="AJ261" s="11" t="n">
        <v>10</v>
      </c>
      <c r="AK261" s="11" t="n">
        <v>0</v>
      </c>
      <c r="AL261" s="11" t="n">
        <v>0</v>
      </c>
      <c r="AM261" s="11" t="n">
        <v>0</v>
      </c>
      <c r="AN261" s="11" t="n">
        <v>0</v>
      </c>
      <c r="AO261" s="11" t="n">
        <v>0</v>
      </c>
      <c r="AP261" s="11" t="n">
        <v>0</v>
      </c>
      <c r="AQ261" s="11" t="n">
        <v>0</v>
      </c>
      <c r="AR261" s="11" t="n">
        <v>0</v>
      </c>
      <c r="AS261" s="11" t="n">
        <v>0</v>
      </c>
      <c r="AT261" s="11" t="n">
        <v>0</v>
      </c>
      <c r="AU261" s="11" t="n">
        <v>0</v>
      </c>
      <c r="AV261" s="11" t="n">
        <v>0</v>
      </c>
      <c r="AW261" s="11" t="n">
        <v>0</v>
      </c>
      <c r="AX261" s="11" t="n">
        <v>20</v>
      </c>
      <c r="AY261" s="11" t="n">
        <v>0</v>
      </c>
      <c r="AZ261" s="11" t="n">
        <v>0</v>
      </c>
      <c r="BA261" s="11" t="n">
        <v>0</v>
      </c>
      <c r="BB261" s="11" t="n">
        <v>7</v>
      </c>
      <c r="BC261" s="11" t="n">
        <v>6</v>
      </c>
      <c r="BD261" s="11" t="n">
        <v>0</v>
      </c>
      <c r="BE261" s="11" t="n">
        <v>0</v>
      </c>
      <c r="BF261" s="11" t="n">
        <v>0</v>
      </c>
      <c r="BG261" s="11" t="n">
        <v>0</v>
      </c>
      <c r="BH261" s="11" t="n">
        <v>400</v>
      </c>
      <c r="BI261" s="11" t="n">
        <v>0</v>
      </c>
      <c r="BJ261" s="11" t="n">
        <v>0</v>
      </c>
      <c r="BK261" s="11" t="n">
        <v>0</v>
      </c>
      <c r="BL261" s="11" t="n">
        <v>0</v>
      </c>
      <c r="BM261" s="11" t="n">
        <v>20</v>
      </c>
      <c r="BN261" s="11" t="n">
        <v>0</v>
      </c>
      <c r="BO261" s="11" t="n">
        <v>0</v>
      </c>
      <c r="BP261" s="11" t="n">
        <v>0</v>
      </c>
      <c r="BQ261" s="11" t="n">
        <v>0</v>
      </c>
      <c r="BR261" s="11" t="n">
        <v>8</v>
      </c>
      <c r="BS261" s="11" t="n">
        <v>0</v>
      </c>
      <c r="BT261" s="11" t="n">
        <v>0</v>
      </c>
      <c r="BU261" s="11" t="n">
        <v>0</v>
      </c>
      <c r="BV261" s="11" t="n">
        <v>0</v>
      </c>
      <c r="BW261" s="11" t="n">
        <v>10</v>
      </c>
      <c r="BX261" s="11" t="n">
        <v>0</v>
      </c>
      <c r="BY261" s="11" t="n">
        <v>0</v>
      </c>
      <c r="BZ261" s="11" t="n">
        <v>0</v>
      </c>
      <c r="CA261" s="11" t="n">
        <v>18</v>
      </c>
      <c r="CB261" s="11" t="n">
        <v>0</v>
      </c>
      <c r="CC261" s="11" t="n">
        <v>10</v>
      </c>
      <c r="CD261" s="11" t="n">
        <v>0</v>
      </c>
      <c r="CE261" s="11" t="n">
        <v>0</v>
      </c>
    </row>
    <row r="262">
      <c r="A262" s="14" t="inlineStr">
        <is>
          <t>2026-07-05</t>
        </is>
      </c>
      <c r="B262" s="8" t="n">
        <v>0</v>
      </c>
      <c r="C262" s="8" t="n">
        <v>0</v>
      </c>
      <c r="D262" s="8" t="n">
        <v>0</v>
      </c>
      <c r="E262" s="8" t="n">
        <v>0</v>
      </c>
      <c r="F262" s="8" t="n">
        <v>0</v>
      </c>
      <c r="G262" s="8" t="n">
        <v>0</v>
      </c>
      <c r="H262" s="8" t="n">
        <v>0</v>
      </c>
      <c r="I262" s="8" t="n">
        <v>0</v>
      </c>
      <c r="J262" s="8" t="n">
        <v>0</v>
      </c>
      <c r="K262" s="8" t="n">
        <v>0</v>
      </c>
      <c r="L262" s="8" t="n">
        <v>0</v>
      </c>
      <c r="M262" s="8" t="n">
        <v>0</v>
      </c>
      <c r="N262" s="8" t="n">
        <v>0</v>
      </c>
      <c r="O262" s="8" t="n">
        <v>6</v>
      </c>
      <c r="P262" s="8" t="n">
        <v>0</v>
      </c>
      <c r="Q262" s="8" t="n">
        <v>0</v>
      </c>
      <c r="R262" s="8" t="n">
        <v>4</v>
      </c>
      <c r="S262" s="8" t="n">
        <v>0</v>
      </c>
      <c r="T262" s="8" t="n">
        <v>0</v>
      </c>
      <c r="U262" s="8" t="n">
        <v>0</v>
      </c>
      <c r="V262" s="8" t="n">
        <v>0</v>
      </c>
      <c r="W262" s="8" t="n">
        <v>0</v>
      </c>
      <c r="X262" s="8" t="n">
        <v>0</v>
      </c>
      <c r="Y262" s="8" t="n">
        <v>12</v>
      </c>
      <c r="Z262" s="8" t="n">
        <v>950</v>
      </c>
      <c r="AA262" s="8" t="n">
        <v>300</v>
      </c>
      <c r="AB262" s="8" t="n">
        <v>120</v>
      </c>
      <c r="AC262" s="8" t="n">
        <v>0</v>
      </c>
      <c r="AD262" s="8" t="n">
        <v>0</v>
      </c>
      <c r="AE262" s="8" t="n">
        <v>7</v>
      </c>
      <c r="AF262" s="8" t="n">
        <v>0</v>
      </c>
      <c r="AG262" s="8" t="n">
        <v>5</v>
      </c>
      <c r="AH262" s="8" t="n">
        <v>0</v>
      </c>
      <c r="AI262" s="8" t="n">
        <v>0</v>
      </c>
      <c r="AJ262" s="8" t="n">
        <v>10</v>
      </c>
      <c r="AK262" s="8" t="n">
        <v>0</v>
      </c>
      <c r="AL262" s="8" t="n">
        <v>0</v>
      </c>
      <c r="AM262" s="8" t="n">
        <v>0</v>
      </c>
      <c r="AN262" s="8" t="n">
        <v>0</v>
      </c>
      <c r="AO262" s="8" t="n">
        <v>0</v>
      </c>
      <c r="AP262" s="8" t="n">
        <v>0</v>
      </c>
      <c r="AQ262" s="8" t="n">
        <v>0</v>
      </c>
      <c r="AR262" s="8" t="n">
        <v>0</v>
      </c>
      <c r="AS262" s="8" t="n">
        <v>0</v>
      </c>
      <c r="AT262" s="8" t="n">
        <v>0</v>
      </c>
      <c r="AU262" s="8" t="n">
        <v>0</v>
      </c>
      <c r="AV262" s="8" t="n">
        <v>0</v>
      </c>
      <c r="AW262" s="8" t="n">
        <v>0</v>
      </c>
      <c r="AX262" s="8" t="n">
        <v>20</v>
      </c>
      <c r="AY262" s="8" t="n">
        <v>0</v>
      </c>
      <c r="AZ262" s="8" t="n">
        <v>0</v>
      </c>
      <c r="BA262" s="8" t="n">
        <v>0</v>
      </c>
      <c r="BB262" s="8" t="n">
        <v>7</v>
      </c>
      <c r="BC262" s="8" t="n">
        <v>6</v>
      </c>
      <c r="BD262" s="8" t="n">
        <v>0</v>
      </c>
      <c r="BE262" s="8" t="n">
        <v>0</v>
      </c>
      <c r="BF262" s="8" t="n">
        <v>0</v>
      </c>
      <c r="BG262" s="8" t="n">
        <v>0</v>
      </c>
      <c r="BH262" s="8" t="n">
        <v>400</v>
      </c>
      <c r="BI262" s="8" t="n">
        <v>0</v>
      </c>
      <c r="BJ262" s="8" t="n">
        <v>0</v>
      </c>
      <c r="BK262" s="8" t="n">
        <v>0</v>
      </c>
      <c r="BL262" s="8" t="n">
        <v>0</v>
      </c>
      <c r="BM262" s="8" t="n">
        <v>20</v>
      </c>
      <c r="BN262" s="8" t="n">
        <v>0</v>
      </c>
      <c r="BO262" s="8" t="n">
        <v>0</v>
      </c>
      <c r="BP262" s="8" t="n">
        <v>0</v>
      </c>
      <c r="BQ262" s="8" t="n">
        <v>0</v>
      </c>
      <c r="BR262" s="8" t="n">
        <v>8</v>
      </c>
      <c r="BS262" s="8" t="n">
        <v>0</v>
      </c>
      <c r="BT262" s="8" t="n">
        <v>0</v>
      </c>
      <c r="BU262" s="8" t="n">
        <v>0</v>
      </c>
      <c r="BV262" s="8" t="n">
        <v>0</v>
      </c>
      <c r="BW262" s="8" t="n">
        <v>10</v>
      </c>
      <c r="BX262" s="8" t="n">
        <v>0</v>
      </c>
      <c r="BY262" s="8" t="n">
        <v>0</v>
      </c>
      <c r="BZ262" s="8" t="n">
        <v>0</v>
      </c>
      <c r="CA262" s="8" t="n">
        <v>18</v>
      </c>
      <c r="CB262" s="8" t="n">
        <v>0</v>
      </c>
      <c r="CC262" s="8" t="n">
        <v>10</v>
      </c>
      <c r="CD262" s="8" t="n">
        <v>0</v>
      </c>
      <c r="CE262" s="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2"/>
  <sheetViews>
    <sheetView showGridLines="0"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7" t="inlineStr">
        <is>
          <t>Date</t>
        </is>
      </c>
      <c r="B1" s="7" t="inlineStr">
        <is>
          <t>NAV</t>
        </is>
      </c>
      <c r="C1" s="7" t="inlineStr">
        <is>
          <t>InvestedValue_Estimate</t>
        </is>
      </c>
      <c r="D1" s="7" t="inlineStr">
        <is>
          <t>Cash</t>
        </is>
      </c>
    </row>
    <row r="2">
      <c r="A2" s="14" t="inlineStr">
        <is>
          <t>2025-07-07</t>
        </is>
      </c>
      <c r="B2" s="10" t="n">
        <v>3286.349506</v>
      </c>
      <c r="C2" s="10" t="n">
        <v>453.3</v>
      </c>
      <c r="D2" s="10" t="n">
        <v>2833.049506</v>
      </c>
    </row>
    <row r="3">
      <c r="A3" s="15" t="inlineStr">
        <is>
          <t>2025-07-08</t>
        </is>
      </c>
      <c r="B3" s="13" t="n">
        <v>3270.384845</v>
      </c>
      <c r="C3" s="13" t="n">
        <v>1468.005</v>
      </c>
      <c r="D3" s="13" t="n">
        <v>1802.379845</v>
      </c>
    </row>
    <row r="4">
      <c r="A4" s="14" t="inlineStr">
        <is>
          <t>2025-07-09</t>
        </is>
      </c>
      <c r="B4" s="10" t="n">
        <v>3278.104845</v>
      </c>
      <c r="C4" s="10" t="n">
        <v>1456.905</v>
      </c>
      <c r="D4" s="10" t="n">
        <v>1821.199845</v>
      </c>
    </row>
    <row r="5">
      <c r="A5" s="15" t="inlineStr">
        <is>
          <t>2025-07-10</t>
        </is>
      </c>
      <c r="B5" s="13" t="n">
        <v>3298.764845</v>
      </c>
      <c r="C5" s="13" t="n">
        <v>1465.455</v>
      </c>
      <c r="D5" s="13" t="n">
        <v>1833.309845</v>
      </c>
    </row>
    <row r="6">
      <c r="A6" s="14" t="inlineStr">
        <is>
          <t>2025-07-11</t>
        </is>
      </c>
      <c r="B6" s="10" t="n">
        <v>3321.468408</v>
      </c>
      <c r="C6" s="10" t="n">
        <v>1413.495</v>
      </c>
      <c r="D6" s="10" t="n">
        <v>1907.973408</v>
      </c>
    </row>
    <row r="7">
      <c r="A7" s="15" t="inlineStr">
        <is>
          <t>2025-07-14</t>
        </is>
      </c>
      <c r="B7" s="13" t="n">
        <v>3310.639833</v>
      </c>
      <c r="C7" s="13" t="n">
        <v>1975.3987</v>
      </c>
      <c r="D7" s="13" t="n">
        <v>1335.241133</v>
      </c>
    </row>
    <row r="8">
      <c r="A8" s="14" t="inlineStr">
        <is>
          <t>2025-07-15</t>
        </is>
      </c>
      <c r="B8" s="10" t="n">
        <v>3286.599833</v>
      </c>
      <c r="C8" s="10" t="n">
        <v>1966.6987</v>
      </c>
      <c r="D8" s="10" t="n">
        <v>1319.901133</v>
      </c>
    </row>
    <row r="9">
      <c r="A9" s="15" t="inlineStr">
        <is>
          <t>2025-07-16</t>
        </is>
      </c>
      <c r="B9" s="13" t="n">
        <v>3290.568688</v>
      </c>
      <c r="C9" s="13" t="n">
        <v>2170.4737</v>
      </c>
      <c r="D9" s="13" t="n">
        <v>1120.094988</v>
      </c>
    </row>
    <row r="10">
      <c r="A10" s="14" t="inlineStr">
        <is>
          <t>2025-07-17</t>
        </is>
      </c>
      <c r="B10" s="10" t="n">
        <v>3295.558688</v>
      </c>
      <c r="C10" s="10" t="n">
        <v>2166.2737</v>
      </c>
      <c r="D10" s="10" t="n">
        <v>1129.284988</v>
      </c>
    </row>
    <row r="11">
      <c r="A11" s="15" t="inlineStr">
        <is>
          <t>2025-07-18</t>
        </is>
      </c>
      <c r="B11" s="13" t="n">
        <v>3289.898688</v>
      </c>
      <c r="C11" s="13" t="n">
        <v>2164.0237</v>
      </c>
      <c r="D11" s="13" t="n">
        <v>1125.874988</v>
      </c>
    </row>
    <row r="12">
      <c r="A12" s="14" t="inlineStr">
        <is>
          <t>2025-07-21</t>
        </is>
      </c>
      <c r="B12" s="10" t="n">
        <v>3327.928688</v>
      </c>
      <c r="C12" s="10" t="n">
        <v>2179.1737</v>
      </c>
      <c r="D12" s="10" t="n">
        <v>1148.754988</v>
      </c>
    </row>
    <row r="13">
      <c r="A13" s="15" t="inlineStr">
        <is>
          <t>2025-07-22</t>
        </is>
      </c>
      <c r="B13" s="13" t="n">
        <v>3371.180587</v>
      </c>
      <c r="C13" s="13" t="n">
        <v>2382.7537</v>
      </c>
      <c r="D13" s="13" t="n">
        <v>988.4268869999996</v>
      </c>
    </row>
    <row r="14">
      <c r="A14" s="14" t="inlineStr">
        <is>
          <t>2025-07-23</t>
        </is>
      </c>
      <c r="B14" s="10" t="n">
        <v>3389.259876</v>
      </c>
      <c r="C14" s="10" t="n">
        <v>2555.9587</v>
      </c>
      <c r="D14" s="10" t="n">
        <v>833.3011759999999</v>
      </c>
    </row>
    <row r="15">
      <c r="A15" s="15" t="inlineStr">
        <is>
          <t>2025-07-24</t>
        </is>
      </c>
      <c r="B15" s="13" t="n">
        <v>3377.16478</v>
      </c>
      <c r="C15" s="13" t="n">
        <v>2428.5887</v>
      </c>
      <c r="D15" s="13" t="n">
        <v>948.5760799999998</v>
      </c>
    </row>
    <row r="16">
      <c r="A16" s="14" t="inlineStr">
        <is>
          <t>2025-07-25</t>
        </is>
      </c>
      <c r="B16" s="10" t="n">
        <v>3366.144069</v>
      </c>
      <c r="C16" s="10" t="n">
        <v>2534.0687</v>
      </c>
      <c r="D16" s="10" t="n">
        <v>832.0753690000001</v>
      </c>
    </row>
    <row r="17">
      <c r="A17" s="15" t="inlineStr">
        <is>
          <t>2025-07-28</t>
        </is>
      </c>
      <c r="B17" s="13" t="n">
        <v>3323.679324</v>
      </c>
      <c r="C17" s="13" t="n">
        <v>2750.6687</v>
      </c>
      <c r="D17" s="13" t="n">
        <v>573.0106239999996</v>
      </c>
    </row>
    <row r="18">
      <c r="A18" s="14" t="inlineStr">
        <is>
          <t>2025-07-29</t>
        </is>
      </c>
      <c r="B18" s="10" t="n">
        <v>3327.400769</v>
      </c>
      <c r="C18" s="10" t="n">
        <v>2848.9187</v>
      </c>
      <c r="D18" s="10" t="n">
        <v>478.4820690000001</v>
      </c>
    </row>
    <row r="19">
      <c r="A19" s="15" t="inlineStr">
        <is>
          <t>2025-07-30</t>
        </is>
      </c>
      <c r="B19" s="13" t="n">
        <v>3264.563267</v>
      </c>
      <c r="C19" s="13" t="n">
        <v>2913.6287</v>
      </c>
      <c r="D19" s="13" t="n">
        <v>350.9345669999993</v>
      </c>
    </row>
    <row r="20">
      <c r="A20" s="14" t="inlineStr">
        <is>
          <t>2025-07-31</t>
        </is>
      </c>
      <c r="B20" s="10" t="n">
        <v>3255.763267</v>
      </c>
      <c r="C20" s="10" t="n">
        <v>2915.7287</v>
      </c>
      <c r="D20" s="10" t="n">
        <v>340.0345669999997</v>
      </c>
    </row>
    <row r="21">
      <c r="A21" s="15" t="inlineStr">
        <is>
          <t>2025-08-01</t>
        </is>
      </c>
      <c r="B21" s="13" t="n">
        <v>3224.923267</v>
      </c>
      <c r="C21" s="13" t="n">
        <v>2911.2287</v>
      </c>
      <c r="D21" s="13" t="n">
        <v>313.694567</v>
      </c>
    </row>
    <row r="22">
      <c r="A22" s="14" t="inlineStr">
        <is>
          <t>2025-08-04</t>
        </is>
      </c>
      <c r="B22" s="10" t="n">
        <v>3304.923942</v>
      </c>
      <c r="C22" s="10" t="n">
        <v>3093.0387</v>
      </c>
      <c r="D22" s="10" t="n">
        <v>211.8852420000007</v>
      </c>
    </row>
    <row r="23">
      <c r="A23" s="15" t="inlineStr">
        <is>
          <t>2025-08-05</t>
        </is>
      </c>
      <c r="B23" s="13" t="n">
        <v>3373.723942</v>
      </c>
      <c r="C23" s="13" t="n">
        <v>3097.3387</v>
      </c>
      <c r="D23" s="13" t="n">
        <v>276.3852420000003</v>
      </c>
    </row>
    <row r="24">
      <c r="A24" s="14" t="inlineStr">
        <is>
          <t>2025-08-06</t>
        </is>
      </c>
      <c r="B24" s="10" t="n">
        <v>3440.583942</v>
      </c>
      <c r="C24" s="10" t="n">
        <v>3101.2387</v>
      </c>
      <c r="D24" s="10" t="n">
        <v>339.3452420000003</v>
      </c>
    </row>
    <row r="25">
      <c r="A25" s="15" t="inlineStr">
        <is>
          <t>2025-08-07</t>
        </is>
      </c>
      <c r="B25" s="13" t="n">
        <v>3484.503942</v>
      </c>
      <c r="C25" s="13" t="n">
        <v>3110.0387</v>
      </c>
      <c r="D25" s="13" t="n">
        <v>374.4652420000002</v>
      </c>
    </row>
    <row r="26">
      <c r="A26" s="14" t="inlineStr">
        <is>
          <t>2025-08-08</t>
        </is>
      </c>
      <c r="B26" s="10" t="n">
        <v>3495.135508</v>
      </c>
      <c r="C26" s="10" t="n">
        <v>3015.6387</v>
      </c>
      <c r="D26" s="10" t="n">
        <v>479.4968080000003</v>
      </c>
    </row>
    <row r="27">
      <c r="A27" s="15" t="inlineStr">
        <is>
          <t>2025-08-11</t>
        </is>
      </c>
      <c r="B27" s="13" t="n">
        <v>3463.525508</v>
      </c>
      <c r="C27" s="13" t="n">
        <v>3008.2387</v>
      </c>
      <c r="D27" s="13" t="n">
        <v>455.2868079999998</v>
      </c>
    </row>
    <row r="28">
      <c r="A28" s="14" t="inlineStr">
        <is>
          <t>2025-08-12</t>
        </is>
      </c>
      <c r="B28" s="10" t="n">
        <v>3505.035508</v>
      </c>
      <c r="C28" s="10" t="n">
        <v>3018.1387</v>
      </c>
      <c r="D28" s="10" t="n">
        <v>486.896808</v>
      </c>
    </row>
    <row r="29">
      <c r="A29" s="15" t="inlineStr">
        <is>
          <t>2025-08-13</t>
        </is>
      </c>
      <c r="B29" s="13" t="n">
        <v>3512.585508</v>
      </c>
      <c r="C29" s="13" t="n">
        <v>3025.8387</v>
      </c>
      <c r="D29" s="13" t="n">
        <v>486.7468079999999</v>
      </c>
    </row>
    <row r="30">
      <c r="A30" s="14" t="inlineStr">
        <is>
          <t>2025-08-14</t>
        </is>
      </c>
      <c r="B30" s="10" t="n">
        <v>3492.105508</v>
      </c>
      <c r="C30" s="10" t="n">
        <v>3018.2387</v>
      </c>
      <c r="D30" s="10" t="n">
        <v>473.8668080000002</v>
      </c>
    </row>
    <row r="31">
      <c r="A31" s="15" t="inlineStr">
        <is>
          <t>2025-08-15</t>
        </is>
      </c>
      <c r="B31" s="13" t="n">
        <v>3518.325508</v>
      </c>
      <c r="C31" s="13" t="n">
        <v>3024.7387</v>
      </c>
      <c r="D31" s="13" t="n">
        <v>493.586808</v>
      </c>
    </row>
    <row r="32">
      <c r="A32" s="14" t="inlineStr">
        <is>
          <t>2025-08-18</t>
        </is>
      </c>
      <c r="B32" s="10" t="n">
        <v>3520.665508</v>
      </c>
      <c r="C32" s="10" t="n">
        <v>3019.9387</v>
      </c>
      <c r="D32" s="10" t="n">
        <v>500.7268080000003</v>
      </c>
    </row>
    <row r="33">
      <c r="A33" s="15" t="inlineStr">
        <is>
          <t>2025-08-19</t>
        </is>
      </c>
      <c r="B33" s="13" t="n">
        <v>3418.02457</v>
      </c>
      <c r="C33" s="13" t="n">
        <v>3066.5087</v>
      </c>
      <c r="D33" s="13" t="n">
        <v>351.5158700000002</v>
      </c>
    </row>
    <row r="34">
      <c r="A34" s="14" t="inlineStr">
        <is>
          <t>2025-08-20</t>
        </is>
      </c>
      <c r="B34" s="10" t="n">
        <v>3462.09457</v>
      </c>
      <c r="C34" s="10" t="n">
        <v>3068.4087</v>
      </c>
      <c r="D34" s="10" t="n">
        <v>393.6858699999998</v>
      </c>
    </row>
    <row r="35">
      <c r="A35" s="15" t="inlineStr">
        <is>
          <t>2025-08-21</t>
        </is>
      </c>
      <c r="B35" s="13" t="n">
        <v>3497.89457</v>
      </c>
      <c r="C35" s="13" t="n">
        <v>3072.0087</v>
      </c>
      <c r="D35" s="13" t="n">
        <v>425.8858700000001</v>
      </c>
    </row>
    <row r="36">
      <c r="A36" s="14" t="inlineStr">
        <is>
          <t>2025-08-22</t>
        </is>
      </c>
      <c r="B36" s="10" t="n">
        <v>3586.19457</v>
      </c>
      <c r="C36" s="10" t="n">
        <v>3087.8087</v>
      </c>
      <c r="D36" s="10" t="n">
        <v>498.3858700000001</v>
      </c>
    </row>
    <row r="37">
      <c r="A37" s="15" t="inlineStr">
        <is>
          <t>2025-08-25</t>
        </is>
      </c>
      <c r="B37" s="13" t="n">
        <v>3600.307049</v>
      </c>
      <c r="C37" s="13" t="n">
        <v>3035.4387</v>
      </c>
      <c r="D37" s="13" t="n">
        <v>564.8683490000003</v>
      </c>
    </row>
    <row r="38">
      <c r="A38" s="14" t="inlineStr">
        <is>
          <t>2025-08-26</t>
        </is>
      </c>
      <c r="B38" s="10" t="n">
        <v>3645.606338</v>
      </c>
      <c r="C38" s="10" t="n">
        <v>3133.1887</v>
      </c>
      <c r="D38" s="10" t="n">
        <v>512.4176379999999</v>
      </c>
    </row>
    <row r="39">
      <c r="A39" s="15" t="inlineStr">
        <is>
          <t>2025-08-27</t>
        </is>
      </c>
      <c r="B39" s="13" t="n">
        <v>3631.746338</v>
      </c>
      <c r="C39" s="13" t="n">
        <v>3129.6887</v>
      </c>
      <c r="D39" s="13" t="n">
        <v>502.0576380000002</v>
      </c>
    </row>
    <row r="40">
      <c r="A40" s="14" t="inlineStr">
        <is>
          <t>2025-08-28</t>
        </is>
      </c>
      <c r="B40" s="10" t="n">
        <v>3659.286338</v>
      </c>
      <c r="C40" s="10" t="n">
        <v>3134.2887</v>
      </c>
      <c r="D40" s="10" t="n">
        <v>524.9976379999998</v>
      </c>
    </row>
    <row r="41">
      <c r="A41" s="15" t="inlineStr">
        <is>
          <t>2025-08-29</t>
        </is>
      </c>
      <c r="B41" s="13" t="n">
        <v>3756.786338</v>
      </c>
      <c r="C41" s="13" t="n">
        <v>3142.9887</v>
      </c>
      <c r="D41" s="13" t="n">
        <v>613.797638</v>
      </c>
    </row>
    <row r="42">
      <c r="A42" s="14" t="inlineStr">
        <is>
          <t>2025-09-01</t>
        </is>
      </c>
      <c r="B42" s="10" t="n">
        <v>3756.786338</v>
      </c>
      <c r="C42" s="10" t="n">
        <v>3142.9887</v>
      </c>
      <c r="D42" s="10" t="n">
        <v>613.797638</v>
      </c>
    </row>
    <row r="43">
      <c r="A43" s="15" t="inlineStr">
        <is>
          <t>2025-09-02</t>
        </is>
      </c>
      <c r="B43" s="13" t="n">
        <v>4886.687694</v>
      </c>
      <c r="C43" s="13" t="n">
        <v>2961.1087</v>
      </c>
      <c r="D43" s="13" t="n">
        <v>1925.578994</v>
      </c>
    </row>
    <row r="44">
      <c r="A44" s="14" t="inlineStr">
        <is>
          <t>2025-09-03</t>
        </is>
      </c>
      <c r="B44" s="10" t="n">
        <v>4912.468901</v>
      </c>
      <c r="C44" s="10" t="n">
        <v>3220.6922</v>
      </c>
      <c r="D44" s="10" t="n">
        <v>1691.776701</v>
      </c>
    </row>
    <row r="45">
      <c r="A45" s="15" t="inlineStr">
        <is>
          <t>2025-09-04</t>
        </is>
      </c>
      <c r="B45" s="13" t="n">
        <v>4890.231399</v>
      </c>
      <c r="C45" s="13" t="n">
        <v>3462.4922</v>
      </c>
      <c r="D45" s="13" t="n">
        <v>1427.739199000001</v>
      </c>
    </row>
    <row r="46">
      <c r="A46" s="14" t="inlineStr">
        <is>
          <t>2025-09-05</t>
        </is>
      </c>
      <c r="B46" s="10" t="n">
        <v>4952.181399</v>
      </c>
      <c r="C46" s="10" t="n">
        <v>3471.6922</v>
      </c>
      <c r="D46" s="10" t="n">
        <v>1480.489199</v>
      </c>
    </row>
    <row r="47">
      <c r="A47" s="15" t="inlineStr">
        <is>
          <t>2025-09-08</t>
        </is>
      </c>
      <c r="B47" s="13" t="n">
        <v>4969.855448</v>
      </c>
      <c r="C47" s="13" t="n">
        <v>3450.9172</v>
      </c>
      <c r="D47" s="13" t="n">
        <v>1518.938248</v>
      </c>
    </row>
    <row r="48">
      <c r="A48" s="14" t="inlineStr">
        <is>
          <t>2025-09-09</t>
        </is>
      </c>
      <c r="B48" s="10" t="n">
        <v>4950.983117</v>
      </c>
      <c r="C48" s="10" t="n">
        <v>3818.3172</v>
      </c>
      <c r="D48" s="10" t="n">
        <v>1132.665917</v>
      </c>
    </row>
    <row r="49">
      <c r="A49" s="15" t="inlineStr">
        <is>
          <t>2025-09-10</t>
        </is>
      </c>
      <c r="B49" s="13" t="n">
        <v>4999.263117</v>
      </c>
      <c r="C49" s="13" t="n">
        <v>3821.917199999999</v>
      </c>
      <c r="D49" s="13" t="n">
        <v>1177.345917000001</v>
      </c>
    </row>
    <row r="50">
      <c r="A50" s="14" t="inlineStr">
        <is>
          <t>2025-09-11</t>
        </is>
      </c>
      <c r="B50" s="10" t="n">
        <v>5073.813117</v>
      </c>
      <c r="C50" s="10" t="n">
        <v>3834.017199999999</v>
      </c>
      <c r="D50" s="10" t="n">
        <v>1239.795917</v>
      </c>
    </row>
    <row r="51">
      <c r="A51" s="15" t="inlineStr">
        <is>
          <t>2025-09-12</t>
        </is>
      </c>
      <c r="B51" s="13" t="n">
        <v>5085.047194000001</v>
      </c>
      <c r="C51" s="13" t="n">
        <v>4169.8322</v>
      </c>
      <c r="D51" s="13" t="n">
        <v>915.2149940000008</v>
      </c>
    </row>
    <row r="52">
      <c r="A52" s="14" t="inlineStr">
        <is>
          <t>2025-09-15</t>
        </is>
      </c>
      <c r="B52" s="10" t="n">
        <v>5137.408315</v>
      </c>
      <c r="C52" s="10" t="n">
        <v>4311.3522</v>
      </c>
      <c r="D52" s="10" t="n">
        <v>826.0561149999994</v>
      </c>
    </row>
    <row r="53">
      <c r="A53" s="15" t="inlineStr">
        <is>
          <t>2025-09-16</t>
        </is>
      </c>
      <c r="B53" s="13" t="n">
        <v>5070.608315</v>
      </c>
      <c r="C53" s="13" t="n">
        <v>4306.2522</v>
      </c>
      <c r="D53" s="13" t="n">
        <v>764.3561150000005</v>
      </c>
    </row>
    <row r="54">
      <c r="A54" s="14" t="inlineStr">
        <is>
          <t>2025-09-17</t>
        </is>
      </c>
      <c r="B54" s="10" t="n">
        <v>5032.278315</v>
      </c>
      <c r="C54" s="10" t="n">
        <v>4299.2522</v>
      </c>
      <c r="D54" s="10" t="n">
        <v>733.0261149999997</v>
      </c>
    </row>
    <row r="55">
      <c r="A55" s="15" t="inlineStr">
        <is>
          <t>2025-09-18</t>
        </is>
      </c>
      <c r="B55" s="13" t="n">
        <v>5076.041546</v>
      </c>
      <c r="C55" s="13" t="n">
        <v>4288.475</v>
      </c>
      <c r="D55" s="13" t="n">
        <v>787.566546</v>
      </c>
    </row>
    <row r="56">
      <c r="A56" s="14" t="inlineStr">
        <is>
          <t>2025-09-19</t>
        </is>
      </c>
      <c r="B56" s="10" t="n">
        <v>5199.641546</v>
      </c>
      <c r="C56" s="10" t="n">
        <v>4297.075</v>
      </c>
      <c r="D56" s="10" t="n">
        <v>902.566546</v>
      </c>
    </row>
    <row r="57">
      <c r="A57" s="15" t="inlineStr">
        <is>
          <t>2025-09-22</t>
        </is>
      </c>
      <c r="B57" s="13" t="n">
        <v>5305.475132</v>
      </c>
      <c r="C57" s="13" t="n">
        <v>4539.095</v>
      </c>
      <c r="D57" s="13" t="n">
        <v>766.3801319999993</v>
      </c>
    </row>
    <row r="58">
      <c r="A58" s="14" t="inlineStr">
        <is>
          <t>2025-09-23</t>
        </is>
      </c>
      <c r="B58" s="10" t="n">
        <v>5317.755132</v>
      </c>
      <c r="C58" s="10" t="n">
        <v>4538.395</v>
      </c>
      <c r="D58" s="10" t="n">
        <v>779.3601320000007</v>
      </c>
    </row>
    <row r="59">
      <c r="A59" s="15" t="inlineStr">
        <is>
          <t>2025-09-24</t>
        </is>
      </c>
      <c r="B59" s="13" t="n">
        <v>5295.755131999999</v>
      </c>
      <c r="C59" s="13" t="n">
        <v>4556.595</v>
      </c>
      <c r="D59" s="13" t="n">
        <v>739.1601319999991</v>
      </c>
    </row>
    <row r="60">
      <c r="A60" s="14" t="inlineStr">
        <is>
          <t>2025-09-25</t>
        </is>
      </c>
      <c r="B60" s="10" t="n">
        <v>5352.775132</v>
      </c>
      <c r="C60" s="10" t="n">
        <v>4559.395</v>
      </c>
      <c r="D60" s="10" t="n">
        <v>793.3801320000002</v>
      </c>
    </row>
    <row r="61">
      <c r="A61" s="15" t="inlineStr">
        <is>
          <t>2025-09-26</t>
        </is>
      </c>
      <c r="B61" s="13" t="n">
        <v>5429.065132000001</v>
      </c>
      <c r="C61" s="13" t="n">
        <v>4567.095</v>
      </c>
      <c r="D61" s="13" t="n">
        <v>861.9701320000004</v>
      </c>
    </row>
    <row r="62">
      <c r="A62" s="14" t="inlineStr">
        <is>
          <t>2025-09-29</t>
        </is>
      </c>
      <c r="B62" s="10" t="n">
        <v>5503.789757</v>
      </c>
      <c r="C62" s="10" t="n">
        <v>4598.764999999999</v>
      </c>
      <c r="D62" s="10" t="n">
        <v>905.0247570000001</v>
      </c>
    </row>
    <row r="63">
      <c r="A63" s="15" t="inlineStr">
        <is>
          <t>2025-09-30</t>
        </is>
      </c>
      <c r="B63" s="13" t="n">
        <v>5539.282759000001</v>
      </c>
      <c r="C63" s="13" t="n">
        <v>4604.494000000001</v>
      </c>
      <c r="D63" s="13" t="n">
        <v>934.788759</v>
      </c>
    </row>
    <row r="64">
      <c r="A64" s="14" t="inlineStr">
        <is>
          <t>2025-10-01</t>
        </is>
      </c>
      <c r="B64" s="10" t="n">
        <v>5564.962759</v>
      </c>
      <c r="C64" s="10" t="n">
        <v>4610.524</v>
      </c>
      <c r="D64" s="10" t="n">
        <v>954.4387589999997</v>
      </c>
    </row>
    <row r="65">
      <c r="A65" s="15" t="inlineStr">
        <is>
          <t>2025-10-02</t>
        </is>
      </c>
      <c r="B65" s="13" t="n">
        <v>5578.569368</v>
      </c>
      <c r="C65" s="13" t="n">
        <v>4593.074</v>
      </c>
      <c r="D65" s="13" t="n">
        <v>985.4953680000008</v>
      </c>
    </row>
    <row r="66">
      <c r="A66" s="14" t="inlineStr">
        <is>
          <t>2025-10-03</t>
        </is>
      </c>
      <c r="B66" s="10" t="n">
        <v>5612.659368</v>
      </c>
      <c r="C66" s="10" t="n">
        <v>4603.009</v>
      </c>
      <c r="D66" s="10" t="n">
        <v>1009.650368</v>
      </c>
    </row>
    <row r="67">
      <c r="A67" s="15" t="inlineStr">
        <is>
          <t>2025-10-06</t>
        </is>
      </c>
      <c r="B67" s="13" t="n">
        <v>5715.189368</v>
      </c>
      <c r="C67" s="13" t="n">
        <v>4601.689</v>
      </c>
      <c r="D67" s="13" t="n">
        <v>1113.500368</v>
      </c>
    </row>
    <row r="68">
      <c r="A68" s="14" t="inlineStr">
        <is>
          <t>2025-10-07</t>
        </is>
      </c>
      <c r="B68" s="10" t="n">
        <v>5653.379368</v>
      </c>
      <c r="C68" s="10" t="n">
        <v>4602.914</v>
      </c>
      <c r="D68" s="10" t="n">
        <v>1050.465368</v>
      </c>
    </row>
    <row r="69">
      <c r="A69" s="15" t="inlineStr">
        <is>
          <t>2025-10-08</t>
        </is>
      </c>
      <c r="B69" s="13" t="n">
        <v>5884.467037</v>
      </c>
      <c r="C69" s="13" t="n">
        <v>4581.173</v>
      </c>
      <c r="D69" s="13" t="n">
        <v>1303.294037000001</v>
      </c>
    </row>
    <row r="70">
      <c r="A70" s="14" t="inlineStr">
        <is>
          <t>2025-10-09</t>
        </is>
      </c>
      <c r="B70" s="10" t="n">
        <v>5768.052203</v>
      </c>
      <c r="C70" s="10" t="n">
        <v>4683.988</v>
      </c>
      <c r="D70" s="10" t="n">
        <v>1084.064203</v>
      </c>
    </row>
    <row r="71">
      <c r="A71" s="15" t="inlineStr">
        <is>
          <t>2025-10-10</t>
        </is>
      </c>
      <c r="B71" s="13" t="n">
        <v>5677.04645</v>
      </c>
      <c r="C71" s="13" t="n">
        <v>4435.383</v>
      </c>
      <c r="D71" s="13" t="n">
        <v>1241.66345</v>
      </c>
    </row>
    <row r="72">
      <c r="A72" s="14" t="inlineStr">
        <is>
          <t>2025-10-13</t>
        </is>
      </c>
      <c r="B72" s="10" t="n">
        <v>5944.035748</v>
      </c>
      <c r="C72" s="10" t="n">
        <v>4810.063</v>
      </c>
      <c r="D72" s="10" t="n">
        <v>1133.972748</v>
      </c>
    </row>
    <row r="73">
      <c r="A73" s="15" t="inlineStr">
        <is>
          <t>2025-10-14</t>
        </is>
      </c>
      <c r="B73" s="13" t="n">
        <v>5891.525748</v>
      </c>
      <c r="C73" s="13" t="n">
        <v>4794.353</v>
      </c>
      <c r="D73" s="13" t="n">
        <v>1097.172748</v>
      </c>
    </row>
    <row r="74">
      <c r="A74" s="14" t="inlineStr">
        <is>
          <t>2025-10-15</t>
        </is>
      </c>
      <c r="B74" s="10" t="n">
        <v>6018.755748</v>
      </c>
      <c r="C74" s="10" t="n">
        <v>4807.528</v>
      </c>
      <c r="D74" s="10" t="n">
        <v>1211.227747999999</v>
      </c>
    </row>
    <row r="75">
      <c r="A75" s="15" t="inlineStr">
        <is>
          <t>2025-10-16</t>
        </is>
      </c>
      <c r="B75" s="13" t="n">
        <v>6093.695748</v>
      </c>
      <c r="C75" s="13" t="n">
        <v>4794.713</v>
      </c>
      <c r="D75" s="13" t="n">
        <v>1298.982748</v>
      </c>
    </row>
    <row r="76">
      <c r="A76" s="14" t="inlineStr">
        <is>
          <t>2025-10-17</t>
        </is>
      </c>
      <c r="B76" s="10" t="n">
        <v>5788.825747999999</v>
      </c>
      <c r="C76" s="10" t="n">
        <v>4773.943</v>
      </c>
      <c r="D76" s="10" t="n">
        <v>1014.882747999999</v>
      </c>
    </row>
    <row r="77">
      <c r="A77" s="15" t="inlineStr">
        <is>
          <t>2025-10-20</t>
        </is>
      </c>
      <c r="B77" s="13" t="n">
        <v>5856.195748</v>
      </c>
      <c r="C77" s="13" t="n">
        <v>4785.388</v>
      </c>
      <c r="D77" s="13" t="n">
        <v>1070.807748</v>
      </c>
    </row>
    <row r="78">
      <c r="A78" s="14" t="inlineStr">
        <is>
          <t>2025-10-21</t>
        </is>
      </c>
      <c r="B78" s="10" t="n">
        <v>5461.620296</v>
      </c>
      <c r="C78" s="10" t="n">
        <v>4877.553</v>
      </c>
      <c r="D78" s="10" t="n">
        <v>584.0672960000002</v>
      </c>
    </row>
    <row r="79">
      <c r="A79" s="15" t="inlineStr">
        <is>
          <t>2025-10-22</t>
        </is>
      </c>
      <c r="B79" s="13" t="n">
        <v>5472.480296</v>
      </c>
      <c r="C79" s="13" t="n">
        <v>4877.503</v>
      </c>
      <c r="D79" s="13" t="n">
        <v>594.977296</v>
      </c>
    </row>
    <row r="80">
      <c r="A80" s="14" t="inlineStr">
        <is>
          <t>2025-10-23</t>
        </is>
      </c>
      <c r="B80" s="10" t="n">
        <v>5518.470296</v>
      </c>
      <c r="C80" s="10" t="n">
        <v>4889.758</v>
      </c>
      <c r="D80" s="10" t="n">
        <v>628.7122959999997</v>
      </c>
    </row>
    <row r="81">
      <c r="A81" s="15" t="inlineStr">
        <is>
          <t>2025-10-24</t>
        </is>
      </c>
      <c r="B81" s="13" t="n">
        <v>5546.424972</v>
      </c>
      <c r="C81" s="13" t="n">
        <v>4899.965</v>
      </c>
      <c r="D81" s="13" t="n">
        <v>646.4599719999997</v>
      </c>
    </row>
    <row r="82">
      <c r="A82" s="14" t="inlineStr">
        <is>
          <t>2025-10-27</t>
        </is>
      </c>
      <c r="B82" s="10" t="n">
        <v>5464.534972</v>
      </c>
      <c r="C82" s="10" t="n">
        <v>4894.06</v>
      </c>
      <c r="D82" s="10" t="n">
        <v>570.474972</v>
      </c>
    </row>
    <row r="83">
      <c r="A83" s="15" t="inlineStr">
        <is>
          <t>2025-10-28</t>
        </is>
      </c>
      <c r="B83" s="13" t="n">
        <v>5507.984972</v>
      </c>
      <c r="C83" s="13" t="n">
        <v>4913.215</v>
      </c>
      <c r="D83" s="13" t="n">
        <v>594.7699720000001</v>
      </c>
    </row>
    <row r="84">
      <c r="A84" s="14" t="inlineStr">
        <is>
          <t>2025-10-29</t>
        </is>
      </c>
      <c r="B84" s="10" t="n">
        <v>5555.971027</v>
      </c>
      <c r="C84" s="10" t="n">
        <v>4874</v>
      </c>
      <c r="D84" s="10" t="n">
        <v>681.9710269999996</v>
      </c>
    </row>
    <row r="85">
      <c r="A85" s="15" t="inlineStr">
        <is>
          <t>2025-10-30</t>
        </is>
      </c>
      <c r="B85" s="13" t="n">
        <v>5570.921027</v>
      </c>
      <c r="C85" s="13" t="n">
        <v>4877.215</v>
      </c>
      <c r="D85" s="13" t="n">
        <v>693.7060270000002</v>
      </c>
    </row>
    <row r="86">
      <c r="A86" s="14" t="inlineStr">
        <is>
          <t>2025-10-31</t>
        </is>
      </c>
      <c r="B86" s="10" t="n">
        <v>5542.441027000001</v>
      </c>
      <c r="C86" s="10" t="n">
        <v>4865.705</v>
      </c>
      <c r="D86" s="10" t="n">
        <v>676.7360270000008</v>
      </c>
    </row>
    <row r="87">
      <c r="A87" s="15" t="inlineStr">
        <is>
          <t>2025-11-03</t>
        </is>
      </c>
      <c r="B87" s="13" t="n">
        <v>5418.081027</v>
      </c>
      <c r="C87" s="13" t="n">
        <v>4831.665</v>
      </c>
      <c r="D87" s="13" t="n">
        <v>586.4160270000002</v>
      </c>
    </row>
    <row r="88">
      <c r="A88" s="14" t="inlineStr">
        <is>
          <t>2025-11-04</t>
        </is>
      </c>
      <c r="B88" s="10" t="n">
        <v>5202.411027</v>
      </c>
      <c r="C88" s="10" t="n">
        <v>4791.105</v>
      </c>
      <c r="D88" s="10" t="n">
        <v>411.3060269999996</v>
      </c>
    </row>
    <row r="89">
      <c r="A89" s="15" t="inlineStr">
        <is>
          <t>2025-11-05</t>
        </is>
      </c>
      <c r="B89" s="13" t="n">
        <v>5285.831027</v>
      </c>
      <c r="C89" s="13" t="n">
        <v>4804.07</v>
      </c>
      <c r="D89" s="13" t="n">
        <v>481.7610270000005</v>
      </c>
    </row>
    <row r="90">
      <c r="A90" s="14" t="inlineStr">
        <is>
          <t>2025-11-06</t>
        </is>
      </c>
      <c r="B90" s="10" t="n">
        <v>5252.421027</v>
      </c>
      <c r="C90" s="10" t="n">
        <v>4801.18</v>
      </c>
      <c r="D90" s="10" t="n">
        <v>451.241027</v>
      </c>
    </row>
    <row r="91">
      <c r="A91" s="15" t="inlineStr">
        <is>
          <t>2025-11-07</t>
        </is>
      </c>
      <c r="B91" s="13" t="n">
        <v>5305.051027</v>
      </c>
      <c r="C91" s="13" t="n">
        <v>4816.74</v>
      </c>
      <c r="D91" s="13" t="n">
        <v>488.3110270000006</v>
      </c>
    </row>
    <row r="92">
      <c r="A92" s="14" t="inlineStr">
        <is>
          <t>2025-11-10</t>
        </is>
      </c>
      <c r="B92" s="10" t="n">
        <v>5481.021027</v>
      </c>
      <c r="C92" s="10" t="n">
        <v>4852.63</v>
      </c>
      <c r="D92" s="10" t="n">
        <v>628.3910269999997</v>
      </c>
    </row>
    <row r="93">
      <c r="A93" s="15" t="inlineStr">
        <is>
          <t>2025-11-11</t>
        </is>
      </c>
      <c r="B93" s="13" t="n">
        <v>5398.351027</v>
      </c>
      <c r="C93" s="13" t="n">
        <v>4841.315</v>
      </c>
      <c r="D93" s="13" t="n">
        <v>557.0360270000001</v>
      </c>
    </row>
    <row r="94">
      <c r="A94" s="14" t="inlineStr">
        <is>
          <t>2025-11-12</t>
        </is>
      </c>
      <c r="B94" s="10" t="n">
        <v>5502.051027</v>
      </c>
      <c r="C94" s="10" t="n">
        <v>4859.705</v>
      </c>
      <c r="D94" s="10" t="n">
        <v>642.3460270000005</v>
      </c>
    </row>
    <row r="95">
      <c r="A95" s="15" t="inlineStr">
        <is>
          <t>2025-11-13</t>
        </is>
      </c>
      <c r="B95" s="13" t="n">
        <v>5363.021027000001</v>
      </c>
      <c r="C95" s="13" t="n">
        <v>4829.325</v>
      </c>
      <c r="D95" s="13" t="n">
        <v>533.6960270000009</v>
      </c>
    </row>
    <row r="96">
      <c r="A96" s="14" t="inlineStr">
        <is>
          <t>2025-11-14</t>
        </is>
      </c>
      <c r="B96" s="10" t="n">
        <v>5279.321027</v>
      </c>
      <c r="C96" s="10" t="n">
        <v>4818.775</v>
      </c>
      <c r="D96" s="10" t="n">
        <v>460.5460270000003</v>
      </c>
    </row>
    <row r="97">
      <c r="A97" s="15" t="inlineStr">
        <is>
          <t>2025-11-17</t>
        </is>
      </c>
      <c r="B97" s="13" t="n">
        <v>5193.581027</v>
      </c>
      <c r="C97" s="13" t="n">
        <v>4799.33</v>
      </c>
      <c r="D97" s="13" t="n">
        <v>394.2510270000002</v>
      </c>
    </row>
    <row r="98">
      <c r="A98" s="14" t="inlineStr">
        <is>
          <t>2025-11-18</t>
        </is>
      </c>
      <c r="B98" s="10" t="n">
        <v>5195.171026999999</v>
      </c>
      <c r="C98" s="10" t="n">
        <v>4789.59</v>
      </c>
      <c r="D98" s="10" t="n">
        <v>405.5810269999993</v>
      </c>
    </row>
    <row r="99">
      <c r="A99" s="15" t="inlineStr">
        <is>
          <t>2025-11-19</t>
        </is>
      </c>
      <c r="B99" s="13" t="n">
        <v>5253.931027000001</v>
      </c>
      <c r="C99" s="13" t="n">
        <v>4810.275000000001</v>
      </c>
      <c r="D99" s="13" t="n">
        <v>443.656027</v>
      </c>
    </row>
    <row r="100">
      <c r="A100" s="14" t="inlineStr">
        <is>
          <t>2025-11-20</t>
        </is>
      </c>
      <c r="B100" s="10" t="n">
        <v>5034.704417999999</v>
      </c>
      <c r="C100" s="10" t="n">
        <v>4494.725</v>
      </c>
      <c r="D100" s="10" t="n">
        <v>539.979417999999</v>
      </c>
    </row>
    <row r="101">
      <c r="A101" s="15" t="inlineStr">
        <is>
          <t>2025-11-21</t>
        </is>
      </c>
      <c r="B101" s="13" t="n">
        <v>5062.024418</v>
      </c>
      <c r="C101" s="13" t="n">
        <v>4502.765</v>
      </c>
      <c r="D101" s="13" t="n">
        <v>559.2594179999996</v>
      </c>
    </row>
    <row r="102">
      <c r="A102" s="14" t="inlineStr">
        <is>
          <t>2025-11-24</t>
        </is>
      </c>
      <c r="B102" s="10" t="n">
        <v>5262.734572</v>
      </c>
      <c r="C102" s="10" t="n">
        <v>4971.360000000001</v>
      </c>
      <c r="D102" s="10" t="n">
        <v>291.3745719999997</v>
      </c>
    </row>
    <row r="103">
      <c r="A103" s="15" t="inlineStr">
        <is>
          <t>2025-11-25</t>
        </is>
      </c>
      <c r="B103" s="13" t="n">
        <v>5267.424572</v>
      </c>
      <c r="C103" s="13" t="n">
        <v>4984.400000000001</v>
      </c>
      <c r="D103" s="13" t="n">
        <v>283.0245719999994</v>
      </c>
    </row>
    <row r="104">
      <c r="A104" s="14" t="inlineStr">
        <is>
          <t>2025-11-26</t>
        </is>
      </c>
      <c r="B104" s="10" t="n">
        <v>6823.7237028125</v>
      </c>
      <c r="C104" s="10" t="n">
        <v>5644.900000000001</v>
      </c>
      <c r="D104" s="10" t="n">
        <v>1178.8237028125</v>
      </c>
    </row>
    <row r="105">
      <c r="A105" s="15" t="inlineStr">
        <is>
          <t>2025-11-27</t>
        </is>
      </c>
      <c r="B105" s="13" t="n">
        <v>6823.7237028125</v>
      </c>
      <c r="C105" s="13" t="n">
        <v>5644.900000000001</v>
      </c>
      <c r="D105" s="13" t="n">
        <v>1178.8237028125</v>
      </c>
    </row>
    <row r="106">
      <c r="A106" s="14" t="inlineStr">
        <is>
          <t>2025-11-28</t>
        </is>
      </c>
      <c r="B106" s="10" t="n">
        <v>7020.6596279375</v>
      </c>
      <c r="C106" s="10" t="n">
        <v>5673.79</v>
      </c>
      <c r="D106" s="10" t="n">
        <v>1346.8696279375</v>
      </c>
    </row>
    <row r="107">
      <c r="A107" s="15" t="inlineStr">
        <is>
          <t>2025-12-01</t>
        </is>
      </c>
      <c r="B107" s="13" t="n">
        <v>7056.6677776875</v>
      </c>
      <c r="C107" s="13" t="n">
        <v>5674.155000000001</v>
      </c>
      <c r="D107" s="13" t="n">
        <v>1382.5127776875</v>
      </c>
    </row>
    <row r="108">
      <c r="A108" s="14" t="inlineStr">
        <is>
          <t>2025-12-02</t>
        </is>
      </c>
      <c r="B108" s="10" t="n">
        <v>7032.9777776875</v>
      </c>
      <c r="C108" s="10" t="n">
        <v>5676.105</v>
      </c>
      <c r="D108" s="10" t="n">
        <v>1356.872777687499</v>
      </c>
    </row>
    <row r="109">
      <c r="A109" s="15" t="inlineStr">
        <is>
          <t>2025-12-03</t>
        </is>
      </c>
      <c r="B109" s="13" t="n">
        <v>7053.866665375</v>
      </c>
      <c r="C109" s="13" t="n">
        <v>5711.325000000001</v>
      </c>
      <c r="D109" s="13" t="n">
        <v>1342.541665374999</v>
      </c>
    </row>
    <row r="110">
      <c r="A110" s="14" t="inlineStr">
        <is>
          <t>2025-12-04</t>
        </is>
      </c>
      <c r="B110" s="10" t="n">
        <v>7081.206665375</v>
      </c>
      <c r="C110" s="10" t="n">
        <v>5719.725</v>
      </c>
      <c r="D110" s="10" t="n">
        <v>1361.481665374999</v>
      </c>
    </row>
    <row r="111">
      <c r="A111" s="15" t="inlineStr">
        <is>
          <t>2025-12-05</t>
        </is>
      </c>
      <c r="B111" s="13" t="n">
        <v>7113.8837028125</v>
      </c>
      <c r="C111" s="13" t="n">
        <v>5720.58</v>
      </c>
      <c r="D111" s="13" t="n">
        <v>1393.3037028125</v>
      </c>
    </row>
    <row r="112">
      <c r="A112" s="14" t="inlineStr">
        <is>
          <t>2025-12-08</t>
        </is>
      </c>
      <c r="B112" s="10" t="n">
        <v>7041.5196279375</v>
      </c>
      <c r="C112" s="10" t="n">
        <v>5709.21</v>
      </c>
      <c r="D112" s="10" t="n">
        <v>1332.3096279375</v>
      </c>
    </row>
    <row r="113">
      <c r="A113" s="15" t="inlineStr">
        <is>
          <t>2025-12-09</t>
        </is>
      </c>
      <c r="B113" s="13" t="n">
        <v>7197.4737028125</v>
      </c>
      <c r="C113" s="13" t="n">
        <v>5711.865000000001</v>
      </c>
      <c r="D113" s="13" t="n">
        <v>1485.608702812499</v>
      </c>
    </row>
    <row r="114">
      <c r="A114" s="14" t="inlineStr">
        <is>
          <t>2025-12-10</t>
        </is>
      </c>
      <c r="B114" s="10" t="n">
        <v>7236.069627937501</v>
      </c>
      <c r="C114" s="10" t="n">
        <v>5729.775000000001</v>
      </c>
      <c r="D114" s="10" t="n">
        <v>1506.2946279375</v>
      </c>
    </row>
    <row r="115">
      <c r="A115" s="15" t="inlineStr">
        <is>
          <t>2025-12-11</t>
        </is>
      </c>
      <c r="B115" s="13" t="n">
        <v>7384.095811069999</v>
      </c>
      <c r="C115" s="13" t="n">
        <v>6476.31625</v>
      </c>
      <c r="D115" s="13" t="n">
        <v>907.7795610699995</v>
      </c>
    </row>
    <row r="116">
      <c r="A116" s="14" t="inlineStr">
        <is>
          <t>2025-12-12</t>
        </is>
      </c>
      <c r="B116" s="10" t="n">
        <v>7289.9663903204</v>
      </c>
      <c r="C116" s="10" t="n">
        <v>6452.131249999999</v>
      </c>
      <c r="D116" s="10" t="n">
        <v>837.8351403204006</v>
      </c>
    </row>
    <row r="117">
      <c r="A117" s="15" t="inlineStr">
        <is>
          <t>2025-12-15</t>
        </is>
      </c>
      <c r="B117" s="13" t="n">
        <v>7289.576390320401</v>
      </c>
      <c r="C117" s="13" t="n">
        <v>6448.68625</v>
      </c>
      <c r="D117" s="13" t="n">
        <v>840.8901403204009</v>
      </c>
    </row>
    <row r="118">
      <c r="A118" s="14" t="inlineStr">
        <is>
          <t>2025-12-16</t>
        </is>
      </c>
      <c r="B118" s="10" t="n">
        <v>7288.7561006952</v>
      </c>
      <c r="C118" s="10" t="n">
        <v>6441.716249999999</v>
      </c>
      <c r="D118" s="10" t="n">
        <v>847.0398506952006</v>
      </c>
    </row>
    <row r="119">
      <c r="A119" s="15" t="inlineStr">
        <is>
          <t>2025-12-17</t>
        </is>
      </c>
      <c r="B119" s="13" t="n">
        <v>7340.345811069999</v>
      </c>
      <c r="C119" s="13" t="n">
        <v>6442.871249999999</v>
      </c>
      <c r="D119" s="13" t="n">
        <v>897.4745610700002</v>
      </c>
    </row>
    <row r="120">
      <c r="A120" s="14" t="inlineStr">
        <is>
          <t>2025-12-18</t>
        </is>
      </c>
      <c r="B120" s="10" t="n">
        <v>7374.356390320399</v>
      </c>
      <c r="C120" s="10" t="n">
        <v>6445.881249999999</v>
      </c>
      <c r="D120" s="10" t="n">
        <v>928.4751403204</v>
      </c>
    </row>
    <row r="121">
      <c r="A121" s="15" t="inlineStr">
        <is>
          <t>2025-12-19</t>
        </is>
      </c>
      <c r="B121" s="13" t="n">
        <v>7578.6863903204</v>
      </c>
      <c r="C121" s="13" t="n">
        <v>6474.091249999999</v>
      </c>
      <c r="D121" s="13" t="n">
        <v>1104.595140320401</v>
      </c>
    </row>
    <row r="122">
      <c r="A122" s="14" t="inlineStr">
        <is>
          <t>2025-12-22</t>
        </is>
      </c>
      <c r="B122" s="10" t="n">
        <v>7798.3761006952</v>
      </c>
      <c r="C122" s="10" t="n">
        <v>6499.876249999999</v>
      </c>
      <c r="D122" s="10" t="n">
        <v>1298.499850695201</v>
      </c>
    </row>
    <row r="123">
      <c r="A123" s="15" t="inlineStr">
        <is>
          <t>2025-12-23</t>
        </is>
      </c>
      <c r="B123" s="13" t="n">
        <v>7920.8861006952</v>
      </c>
      <c r="C123" s="13" t="n">
        <v>6517.691249999999</v>
      </c>
      <c r="D123" s="13" t="n">
        <v>1403.194850695201</v>
      </c>
    </row>
    <row r="124">
      <c r="A124" s="14" t="inlineStr">
        <is>
          <t>2025-12-24</t>
        </is>
      </c>
      <c r="B124" s="10" t="n">
        <v>7843.1369695708</v>
      </c>
      <c r="C124" s="10" t="n">
        <v>6514.561249999999</v>
      </c>
      <c r="D124" s="10" t="n">
        <v>1328.575719570801</v>
      </c>
    </row>
    <row r="125">
      <c r="A125" s="15" t="inlineStr">
        <is>
          <t>2025-12-25</t>
        </is>
      </c>
      <c r="B125" s="13" t="n">
        <v>7843.1363903204</v>
      </c>
      <c r="C125" s="13" t="n">
        <v>6514.561249999999</v>
      </c>
      <c r="D125" s="13" t="n">
        <v>1328.575140320401</v>
      </c>
    </row>
    <row r="126">
      <c r="A126" s="14" t="inlineStr">
        <is>
          <t>2025-12-26</t>
        </is>
      </c>
      <c r="B126" s="10" t="n">
        <v>9034.892216320401</v>
      </c>
      <c r="C126" s="10" t="n">
        <v>6734.170755</v>
      </c>
      <c r="D126" s="10" t="n">
        <v>2300.721461320401</v>
      </c>
    </row>
    <row r="127">
      <c r="A127" s="15" t="inlineStr">
        <is>
          <t>2025-12-29</t>
        </is>
      </c>
      <c r="B127" s="13" t="n">
        <v>8618.284162919899</v>
      </c>
      <c r="C127" s="13" t="n">
        <v>7408.462599999999</v>
      </c>
      <c r="D127" s="13" t="n">
        <v>1209.8215629199</v>
      </c>
    </row>
    <row r="128">
      <c r="A128" s="14" t="inlineStr">
        <is>
          <t>2025-12-30</t>
        </is>
      </c>
      <c r="B128" s="10" t="n">
        <v>8700.5549355762</v>
      </c>
      <c r="C128" s="10" t="n">
        <v>7400.1976</v>
      </c>
      <c r="D128" s="10" t="n">
        <v>1300.3573355762</v>
      </c>
    </row>
    <row r="129">
      <c r="A129" s="15" t="inlineStr">
        <is>
          <t>2025-12-31</t>
        </is>
      </c>
      <c r="B129" s="13" t="n">
        <v>8543.6641629199</v>
      </c>
      <c r="C129" s="13" t="n">
        <v>7391.9126</v>
      </c>
      <c r="D129" s="13" t="n">
        <v>1151.751562919901</v>
      </c>
    </row>
    <row r="130">
      <c r="A130" s="14" t="inlineStr">
        <is>
          <t>2026-01-01</t>
        </is>
      </c>
      <c r="B130" s="10" t="n">
        <v>8543.6641629199</v>
      </c>
      <c r="C130" s="10" t="n">
        <v>7391.9126</v>
      </c>
      <c r="D130" s="10" t="n">
        <v>1151.751562919901</v>
      </c>
    </row>
    <row r="131">
      <c r="A131" s="15" t="inlineStr">
        <is>
          <t>2026-01-02</t>
        </is>
      </c>
      <c r="B131" s="13" t="n">
        <v>8652.014935576201</v>
      </c>
      <c r="C131" s="13" t="n">
        <v>7428.7626</v>
      </c>
      <c r="D131" s="13" t="n">
        <v>1223.2523355762</v>
      </c>
    </row>
    <row r="132">
      <c r="A132" s="14" t="inlineStr">
        <is>
          <t>2026-01-05</t>
        </is>
      </c>
      <c r="B132" s="10" t="n">
        <v>8920.0749355762</v>
      </c>
      <c r="C132" s="10" t="n">
        <v>7478.5676</v>
      </c>
      <c r="D132" s="10" t="n">
        <v>1441.5073355762</v>
      </c>
    </row>
    <row r="133">
      <c r="A133" s="15" t="inlineStr">
        <is>
          <t>2026-01-06</t>
        </is>
      </c>
      <c r="B133" s="13" t="n">
        <v>9162.704233758999</v>
      </c>
      <c r="C133" s="13" t="n">
        <v>7747.852599999999</v>
      </c>
      <c r="D133" s="13" t="n">
        <v>1414.851633759</v>
      </c>
    </row>
    <row r="134">
      <c r="A134" s="14" t="inlineStr">
        <is>
          <t>2026-01-07</t>
        </is>
      </c>
      <c r="B134" s="10" t="n">
        <v>8978.914233759</v>
      </c>
      <c r="C134" s="10" t="n">
        <v>7728.027599999999</v>
      </c>
      <c r="D134" s="10" t="n">
        <v>1250.886633759002</v>
      </c>
    </row>
    <row r="135">
      <c r="A135" s="15" t="inlineStr">
        <is>
          <t>2026-01-08</t>
        </is>
      </c>
      <c r="B135" s="13" t="n">
        <v>8980.091183619001</v>
      </c>
      <c r="C135" s="13" t="n">
        <v>7889.387599999999</v>
      </c>
      <c r="D135" s="13" t="n">
        <v>1090.703583619002</v>
      </c>
    </row>
    <row r="136">
      <c r="A136" s="14" t="inlineStr">
        <is>
          <t>2026-01-09</t>
        </is>
      </c>
      <c r="B136" s="10" t="n">
        <v>9125.086780809999</v>
      </c>
      <c r="C136" s="10" t="n">
        <v>8238.26175</v>
      </c>
      <c r="D136" s="10" t="n">
        <v>886.8250308099996</v>
      </c>
    </row>
    <row r="137">
      <c r="A137" s="15" t="inlineStr">
        <is>
          <t>2026-01-12</t>
        </is>
      </c>
      <c r="B137" s="13" t="n">
        <v>9390.7427277364</v>
      </c>
      <c r="C137" s="13" t="n">
        <v>8270.08675</v>
      </c>
      <c r="D137" s="13" t="n">
        <v>1120.6559777364</v>
      </c>
    </row>
    <row r="138">
      <c r="A138" s="14" t="inlineStr">
        <is>
          <t>2026-01-13</t>
        </is>
      </c>
      <c r="B138" s="10" t="n">
        <v>9425.4967005416</v>
      </c>
      <c r="C138" s="10" t="n">
        <v>8620.064249999999</v>
      </c>
      <c r="D138" s="10" t="n">
        <v>805.4324505416007</v>
      </c>
    </row>
    <row r="139">
      <c r="A139" s="15" t="inlineStr">
        <is>
          <t>2026-01-14</t>
        </is>
      </c>
      <c r="B139" s="13" t="n">
        <v>9588.2646625416</v>
      </c>
      <c r="C139" s="13" t="n">
        <v>9280.11995</v>
      </c>
      <c r="D139" s="13" t="n">
        <v>308.1447125415998</v>
      </c>
    </row>
    <row r="140">
      <c r="A140" s="14" t="inlineStr">
        <is>
          <t>2026-01-15</t>
        </is>
      </c>
      <c r="B140" s="10" t="n">
        <v>9561.4346625416</v>
      </c>
      <c r="C140" s="10" t="n">
        <v>9276.61995</v>
      </c>
      <c r="D140" s="10" t="n">
        <v>284.8147125415999</v>
      </c>
    </row>
    <row r="141">
      <c r="A141" s="15" t="inlineStr">
        <is>
          <t>2026-01-16</t>
        </is>
      </c>
      <c r="B141" s="13" t="n">
        <v>9387.2446625416</v>
      </c>
      <c r="C141" s="13" t="n">
        <v>9263.919950000001</v>
      </c>
      <c r="D141" s="13" t="n">
        <v>123.3247125415983</v>
      </c>
    </row>
    <row r="142">
      <c r="A142" s="14" t="inlineStr">
        <is>
          <t>2026-01-19</t>
        </is>
      </c>
      <c r="B142" s="10" t="n">
        <v>9387.2446625416</v>
      </c>
      <c r="C142" s="10" t="n">
        <v>9263.919950000001</v>
      </c>
      <c r="D142" s="10" t="n">
        <v>123.3247125415983</v>
      </c>
    </row>
    <row r="143">
      <c r="A143" s="15" t="inlineStr">
        <is>
          <t>2026-01-20</t>
        </is>
      </c>
      <c r="B143" s="13" t="n">
        <v>9751.894662541599</v>
      </c>
      <c r="C143" s="13" t="n">
        <v>9278.719950000001</v>
      </c>
      <c r="D143" s="13" t="n">
        <v>473.1747125415986</v>
      </c>
    </row>
    <row r="144">
      <c r="A144" s="14" t="inlineStr">
        <is>
          <t>2026-01-21</t>
        </is>
      </c>
      <c r="B144" s="10" t="n">
        <v>9841.384662541601</v>
      </c>
      <c r="C144" s="10" t="n">
        <v>9295.919950000001</v>
      </c>
      <c r="D144" s="10" t="n">
        <v>545.4647125415995</v>
      </c>
    </row>
    <row r="145">
      <c r="A145" s="15" t="inlineStr">
        <is>
          <t>2026-01-22</t>
        </is>
      </c>
      <c r="B145" s="13" t="n">
        <v>10101.9253887525</v>
      </c>
      <c r="C145" s="13" t="n">
        <v>9453.406349999999</v>
      </c>
      <c r="D145" s="13" t="n">
        <v>648.5190387525017</v>
      </c>
    </row>
    <row r="146">
      <c r="A146" s="14" t="inlineStr">
        <is>
          <t>2026-01-23</t>
        </is>
      </c>
      <c r="B146" s="10" t="n">
        <v>10367.0143417525</v>
      </c>
      <c r="C146" s="10" t="n">
        <v>9382.704950000001</v>
      </c>
      <c r="D146" s="10" t="n">
        <v>984.3093917524984</v>
      </c>
    </row>
    <row r="147">
      <c r="A147" s="15" t="inlineStr">
        <is>
          <t>2026-01-26</t>
        </is>
      </c>
      <c r="B147" s="13" t="n">
        <v>10472.5712658034</v>
      </c>
      <c r="C147" s="13" t="n">
        <v>9205.11825</v>
      </c>
      <c r="D147" s="13" t="n">
        <v>1267.453015803399</v>
      </c>
    </row>
    <row r="148">
      <c r="A148" s="14" t="inlineStr">
        <is>
          <t>2026-01-27</t>
        </is>
      </c>
      <c r="B148" s="10" t="n">
        <v>10588.9392347525</v>
      </c>
      <c r="C148" s="10" t="n">
        <v>8446.23825</v>
      </c>
      <c r="D148" s="10" t="n">
        <v>2142.700984752499</v>
      </c>
    </row>
    <row r="149">
      <c r="A149" s="15" t="inlineStr">
        <is>
          <t>2026-01-28</t>
        </is>
      </c>
      <c r="B149" s="13" t="n">
        <v>10906.0216468034</v>
      </c>
      <c r="C149" s="13" t="n">
        <v>9751.920750000001</v>
      </c>
      <c r="D149" s="13" t="n">
        <v>1154.1008968034</v>
      </c>
    </row>
    <row r="150">
      <c r="A150" s="14" t="inlineStr">
        <is>
          <t>2026-01-29</t>
        </is>
      </c>
      <c r="B150" s="10" t="n">
        <v>10824.9504907525</v>
      </c>
      <c r="C150" s="10" t="n">
        <v>9750.920750000001</v>
      </c>
      <c r="D150" s="10" t="n">
        <v>1074.029740752499</v>
      </c>
    </row>
    <row r="151">
      <c r="A151" s="15" t="inlineStr">
        <is>
          <t>2026-01-30</t>
        </is>
      </c>
      <c r="B151" s="13" t="n">
        <v>10350.1251149561</v>
      </c>
      <c r="C151" s="13" t="n">
        <v>9660.750750000001</v>
      </c>
      <c r="D151" s="13" t="n">
        <v>689.3743649560984</v>
      </c>
    </row>
    <row r="152">
      <c r="A152" s="14" t="inlineStr">
        <is>
          <t>2026-02-02</t>
        </is>
      </c>
      <c r="B152" s="10" t="n">
        <v>10220.5750038034</v>
      </c>
      <c r="C152" s="10" t="n">
        <v>9317.975750000001</v>
      </c>
      <c r="D152" s="10" t="n">
        <v>902.5992538033988</v>
      </c>
    </row>
    <row r="153">
      <c r="A153" s="15" t="inlineStr">
        <is>
          <t>2026-02-03</t>
        </is>
      </c>
      <c r="B153" s="13" t="n">
        <v>10631.9319768034</v>
      </c>
      <c r="C153" s="13" t="n">
        <v>9057.841750000001</v>
      </c>
      <c r="D153" s="13" t="n">
        <v>1574.090226803399</v>
      </c>
    </row>
    <row r="154">
      <c r="A154" s="14" t="inlineStr">
        <is>
          <t>2026-02-04</t>
        </is>
      </c>
      <c r="B154" s="10" t="n">
        <v>10535.0731937525</v>
      </c>
      <c r="C154" s="10" t="n">
        <v>8042.311750000001</v>
      </c>
      <c r="D154" s="10" t="n">
        <v>2492.761443752499</v>
      </c>
    </row>
    <row r="155">
      <c r="A155" s="15" t="inlineStr">
        <is>
          <t>2026-02-05</t>
        </is>
      </c>
      <c r="B155" s="13" t="n">
        <v>10101.5331937525</v>
      </c>
      <c r="C155" s="13" t="n">
        <v>8026.41175</v>
      </c>
      <c r="D155" s="13" t="n">
        <v>2075.1214437525</v>
      </c>
    </row>
    <row r="156">
      <c r="A156" s="14" t="inlineStr">
        <is>
          <t>2026-02-06</t>
        </is>
      </c>
      <c r="B156" s="10" t="n">
        <v>10400.6327367525</v>
      </c>
      <c r="C156" s="10" t="n">
        <v>8202.691750000002</v>
      </c>
      <c r="D156" s="10" t="n">
        <v>2197.940986752499</v>
      </c>
    </row>
    <row r="157">
      <c r="A157" s="15" t="inlineStr">
        <is>
          <t>2026-02-09</t>
        </is>
      </c>
      <c r="B157" s="13" t="n">
        <v>10660.0675227525</v>
      </c>
      <c r="C157" s="13" t="n">
        <v>9162.63125</v>
      </c>
      <c r="D157" s="13" t="n">
        <v>1497.436272752499</v>
      </c>
    </row>
    <row r="158">
      <c r="A158" s="14" t="inlineStr">
        <is>
          <t>2026-02-10</t>
        </is>
      </c>
      <c r="B158" s="10" t="n">
        <v>10536.9492399561</v>
      </c>
      <c r="C158" s="10" t="n">
        <v>8896.7021</v>
      </c>
      <c r="D158" s="10" t="n">
        <v>1640.2471399561</v>
      </c>
    </row>
    <row r="159">
      <c r="A159" s="15" t="inlineStr">
        <is>
          <t>2026-02-11</t>
        </is>
      </c>
      <c r="B159" s="13" t="n">
        <v>10695.5803577525</v>
      </c>
      <c r="C159" s="13" t="n">
        <v>9204.472100000001</v>
      </c>
      <c r="D159" s="13" t="n">
        <v>1491.108257752499</v>
      </c>
    </row>
    <row r="160">
      <c r="A160" s="14" t="inlineStr">
        <is>
          <t>2026-02-12</t>
        </is>
      </c>
      <c r="B160" s="10" t="n">
        <v>10183.1403577525</v>
      </c>
      <c r="C160" s="10" t="n">
        <v>9195.562100000001</v>
      </c>
      <c r="D160" s="10" t="n">
        <v>987.5782577524988</v>
      </c>
    </row>
    <row r="161">
      <c r="A161" s="15" t="inlineStr">
        <is>
          <t>2026-02-13</t>
        </is>
      </c>
      <c r="B161" s="13" t="n">
        <v>10387.5993107525</v>
      </c>
      <c r="C161" s="13" t="n">
        <v>8895.8321</v>
      </c>
      <c r="D161" s="13" t="n">
        <v>1491.7672107525</v>
      </c>
    </row>
    <row r="162">
      <c r="A162" s="14" t="inlineStr">
        <is>
          <t>2026-02-16</t>
        </is>
      </c>
      <c r="B162" s="10" t="n">
        <v>10387.6304668034</v>
      </c>
      <c r="C162" s="10" t="n">
        <v>8895.8321</v>
      </c>
      <c r="D162" s="10" t="n">
        <v>1491.798366803399</v>
      </c>
    </row>
    <row r="163">
      <c r="A163" s="15" t="inlineStr">
        <is>
          <t>2026-02-17</t>
        </is>
      </c>
      <c r="B163" s="13" t="n">
        <v>10101.2793819561</v>
      </c>
      <c r="C163" s="13" t="n">
        <v>8009.161000000001</v>
      </c>
      <c r="D163" s="13" t="n">
        <v>2092.1183819561</v>
      </c>
    </row>
    <row r="164">
      <c r="A164" s="14" t="inlineStr">
        <is>
          <t>2026-02-18</t>
        </is>
      </c>
      <c r="B164" s="10" t="n">
        <v>10287.7236558034</v>
      </c>
      <c r="C164" s="10" t="n">
        <v>8390.361000000001</v>
      </c>
      <c r="D164" s="10" t="n">
        <v>1897.362655803399</v>
      </c>
    </row>
    <row r="165">
      <c r="A165" s="15" t="inlineStr">
        <is>
          <t>2026-02-19</t>
        </is>
      </c>
      <c r="B165" s="13" t="n">
        <v>10299.9530128034</v>
      </c>
      <c r="C165" s="13" t="n">
        <v>8832.686000000002</v>
      </c>
      <c r="D165" s="13" t="n">
        <v>1467.267012803399</v>
      </c>
    </row>
    <row r="166">
      <c r="A166" s="14" t="inlineStr">
        <is>
          <t>2026-02-20</t>
        </is>
      </c>
      <c r="B166" s="10" t="n">
        <v>10513.9418567525</v>
      </c>
      <c r="C166" s="10" t="n">
        <v>8832.686000000002</v>
      </c>
      <c r="D166" s="10" t="n">
        <v>1681.255856752497</v>
      </c>
    </row>
    <row r="167">
      <c r="A167" s="15" t="inlineStr">
        <is>
          <t>2026-02-23</t>
        </is>
      </c>
      <c r="B167" s="13" t="n">
        <v>10642.4386317525</v>
      </c>
      <c r="C167" s="13" t="n">
        <v>7290.301</v>
      </c>
      <c r="D167" s="13" t="n">
        <v>3352.1376317525</v>
      </c>
    </row>
    <row r="168">
      <c r="A168" s="14" t="inlineStr">
        <is>
          <t>2026-02-24</t>
        </is>
      </c>
      <c r="B168" s="10" t="n">
        <v>10555.9388629561</v>
      </c>
      <c r="C168" s="10" t="n">
        <v>6847.976000000001</v>
      </c>
      <c r="D168" s="10" t="n">
        <v>3707.962862956099</v>
      </c>
    </row>
    <row r="169">
      <c r="A169" s="15" t="inlineStr">
        <is>
          <t>2026-02-25</t>
        </is>
      </c>
      <c r="B169" s="13" t="n">
        <v>10566.9842387525</v>
      </c>
      <c r="C169" s="13" t="n">
        <v>6847.976000000001</v>
      </c>
      <c r="D169" s="13" t="n">
        <v>3719.008238752498</v>
      </c>
    </row>
    <row r="170">
      <c r="A170" s="14" t="inlineStr">
        <is>
          <t>2026-02-26</t>
        </is>
      </c>
      <c r="B170" s="10" t="n">
        <v>10585.3942387525</v>
      </c>
      <c r="C170" s="10" t="n">
        <v>6847.976000000001</v>
      </c>
      <c r="D170" s="10" t="n">
        <v>3737.418238752498</v>
      </c>
    </row>
    <row r="171">
      <c r="A171" s="15" t="inlineStr">
        <is>
          <t>2026-02-27</t>
        </is>
      </c>
      <c r="B171" s="13" t="n">
        <v>10689.3442387525</v>
      </c>
      <c r="C171" s="13" t="n">
        <v>6847.976000000001</v>
      </c>
      <c r="D171" s="13" t="n">
        <v>3841.368238752499</v>
      </c>
    </row>
    <row r="172">
      <c r="A172" s="14" t="inlineStr">
        <is>
          <t>2026-03-02</t>
        </is>
      </c>
      <c r="B172" s="10" t="n">
        <v>10666.8978877525</v>
      </c>
      <c r="C172" s="10" t="n">
        <v>7043.816000000001</v>
      </c>
      <c r="D172" s="10" t="n">
        <v>3623.0818877525</v>
      </c>
    </row>
    <row r="173">
      <c r="A173" s="15" t="inlineStr">
        <is>
          <t>2026-03-03</t>
        </is>
      </c>
      <c r="B173" s="13" t="n">
        <v>10354.7113817525</v>
      </c>
      <c r="C173" s="13" t="n">
        <v>831.1859999999999</v>
      </c>
      <c r="D173" s="13" t="n">
        <v>9523.525381752501</v>
      </c>
    </row>
    <row r="174">
      <c r="A174" s="14" t="inlineStr">
        <is>
          <t>2026-03-04</t>
        </is>
      </c>
      <c r="B174" s="10" t="n">
        <v>10316.0113817525</v>
      </c>
      <c r="C174" s="10" t="n">
        <v>831.1859999999999</v>
      </c>
      <c r="D174" s="10" t="n">
        <v>9484.825381752502</v>
      </c>
    </row>
    <row r="175">
      <c r="A175" s="15" t="inlineStr">
        <is>
          <t>2026-03-05</t>
        </is>
      </c>
      <c r="B175" s="13" t="n">
        <v>10320.6972808034</v>
      </c>
      <c r="C175" s="13" t="n">
        <v>1249.479</v>
      </c>
      <c r="D175" s="13" t="n">
        <v>9071.218280803401</v>
      </c>
    </row>
    <row r="176">
      <c r="A176" s="14" t="inlineStr">
        <is>
          <t>2026-03-06</t>
        </is>
      </c>
      <c r="B176" s="10" t="n">
        <v>10431.1661247525</v>
      </c>
      <c r="C176" s="10" t="n">
        <v>1249.479</v>
      </c>
      <c r="D176" s="10" t="n">
        <v>9181.687124752501</v>
      </c>
    </row>
    <row r="177">
      <c r="A177" s="15" t="inlineStr">
        <is>
          <t>2026-03-09</t>
        </is>
      </c>
      <c r="B177" s="13" t="n">
        <v>10356.3439667525</v>
      </c>
      <c r="C177" s="13" t="n">
        <v>874.293</v>
      </c>
      <c r="D177" s="13" t="n">
        <v>9482.0509667525</v>
      </c>
    </row>
    <row r="178">
      <c r="A178" s="14" t="inlineStr">
        <is>
          <t>2026-03-10</t>
        </is>
      </c>
      <c r="B178" s="10" t="n">
        <v>10382.3102088034</v>
      </c>
      <c r="C178" s="10" t="n">
        <v>1390.069</v>
      </c>
      <c r="D178" s="10" t="n">
        <v>8992.2412088034</v>
      </c>
    </row>
    <row r="179">
      <c r="A179" s="15" t="inlineStr">
        <is>
          <t>2026-03-11</t>
        </is>
      </c>
      <c r="B179" s="13" t="n">
        <v>10358.1765377525</v>
      </c>
      <c r="C179" s="13" t="n">
        <v>1944.369</v>
      </c>
      <c r="D179" s="13" t="n">
        <v>8413.807537752502</v>
      </c>
    </row>
    <row r="180">
      <c r="A180" s="14" t="inlineStr">
        <is>
          <t>2026-03-12</t>
        </is>
      </c>
      <c r="B180" s="10" t="n">
        <v>10538.7622807525</v>
      </c>
      <c r="C180" s="10" t="n">
        <v>2293.969</v>
      </c>
      <c r="D180" s="10" t="n">
        <v>8244.793280752499</v>
      </c>
    </row>
    <row r="181">
      <c r="A181" s="15" t="inlineStr">
        <is>
          <t>2026-03-13</t>
        </is>
      </c>
      <c r="B181" s="13" t="n">
        <v>10535.9251847525</v>
      </c>
      <c r="C181" s="13" t="n">
        <v>759.4</v>
      </c>
      <c r="D181" s="13" t="n">
        <v>9776.5251847525</v>
      </c>
    </row>
    <row r="182">
      <c r="A182" s="14" t="inlineStr">
        <is>
          <t>2026-03-16</t>
        </is>
      </c>
      <c r="B182" s="10" t="n">
        <v>10470.7940287016</v>
      </c>
      <c r="C182" s="10" t="n">
        <v>759.4</v>
      </c>
      <c r="D182" s="10" t="n">
        <v>9711.394028701599</v>
      </c>
    </row>
    <row r="183">
      <c r="A183" s="15" t="inlineStr">
        <is>
          <t>2026-03-17</t>
        </is>
      </c>
      <c r="B183" s="13" t="n">
        <v>10454.1186529052</v>
      </c>
      <c r="C183" s="13" t="n">
        <v>759.4</v>
      </c>
      <c r="D183" s="13" t="n">
        <v>9694.718652905201</v>
      </c>
    </row>
    <row r="184">
      <c r="A184" s="14" t="inlineStr">
        <is>
          <t>2026-03-18</t>
        </is>
      </c>
      <c r="B184" s="10" t="n">
        <v>10521.9251847525</v>
      </c>
      <c r="C184" s="10" t="n">
        <v>759.4</v>
      </c>
      <c r="D184" s="10" t="n">
        <v>9762.5251847525</v>
      </c>
    </row>
    <row r="185">
      <c r="A185" s="15" t="inlineStr">
        <is>
          <t>2026-03-19</t>
        </is>
      </c>
      <c r="B185" s="13" t="n">
        <v>10491.0306156507</v>
      </c>
      <c r="C185" s="13" t="n">
        <v>1391.76</v>
      </c>
      <c r="D185" s="13" t="n">
        <v>9099.270615650701</v>
      </c>
    </row>
    <row r="186">
      <c r="A186" s="14" t="inlineStr">
        <is>
          <t>2026-03-20</t>
        </is>
      </c>
      <c r="B186" s="10" t="n">
        <v>10523.7260127525</v>
      </c>
      <c r="C186" s="10" t="n">
        <v>1720.74</v>
      </c>
      <c r="D186" s="10" t="n">
        <v>8802.986012752501</v>
      </c>
    </row>
    <row r="187">
      <c r="A187" s="15" t="inlineStr">
        <is>
          <t>2026-03-23</t>
        </is>
      </c>
      <c r="B187" s="13" t="n">
        <v>10438.4413297525</v>
      </c>
      <c r="C187" s="13" t="n">
        <v>2906.2176</v>
      </c>
      <c r="D187" s="13" t="n">
        <v>7532.223729752501</v>
      </c>
    </row>
    <row r="188">
      <c r="A188" s="14" t="inlineStr">
        <is>
          <t>2026-03-24</t>
        </is>
      </c>
      <c r="B188" s="10" t="n">
        <v>10462.6710617016</v>
      </c>
      <c r="C188" s="10" t="n">
        <v>1501.08</v>
      </c>
      <c r="D188" s="10" t="n">
        <v>8961.5910617016</v>
      </c>
    </row>
    <row r="189">
      <c r="A189" s="15" t="inlineStr">
        <is>
          <t>2026-03-25</t>
        </is>
      </c>
      <c r="B189" s="13" t="n">
        <v>10439.834622</v>
      </c>
      <c r="C189" s="13" t="n">
        <v>4235.372177867765</v>
      </c>
      <c r="D189" s="13" t="n">
        <v>6204.462444132236</v>
      </c>
    </row>
    <row r="190">
      <c r="A190" s="14" t="inlineStr">
        <is>
          <t>2026-03-26</t>
        </is>
      </c>
      <c r="B190" s="10" t="n">
        <v>10382.770822</v>
      </c>
      <c r="C190" s="10" t="n">
        <v>4185.633466306434</v>
      </c>
      <c r="D190" s="10" t="n">
        <v>6197.137355693567</v>
      </c>
    </row>
    <row r="191">
      <c r="A191" s="15" t="inlineStr">
        <is>
          <t>2026-03-27</t>
        </is>
      </c>
      <c r="B191" s="13" t="n">
        <v>10553.261782</v>
      </c>
      <c r="C191" s="13" t="n">
        <v>4166.306112656694</v>
      </c>
      <c r="D191" s="13" t="n">
        <v>6386.955669343306</v>
      </c>
    </row>
    <row r="192">
      <c r="A192" s="14" t="inlineStr">
        <is>
          <t>2026-03-30</t>
        </is>
      </c>
      <c r="B192" s="10" t="n">
        <v>10476.194667</v>
      </c>
      <c r="C192" s="10" t="n">
        <v>4970.067839052143</v>
      </c>
      <c r="D192" s="10" t="n">
        <v>5506.126827947857</v>
      </c>
    </row>
    <row r="193">
      <c r="A193" s="15" t="inlineStr">
        <is>
          <t>2026-03-31</t>
        </is>
      </c>
      <c r="B193" s="13" t="n">
        <v>10422.81244</v>
      </c>
      <c r="C193" s="13" t="n">
        <v>5858.062069846455</v>
      </c>
      <c r="D193" s="13" t="n">
        <v>4564.750370153544</v>
      </c>
    </row>
    <row r="194">
      <c r="A194" s="14" t="inlineStr">
        <is>
          <t>2026-04-01</t>
        </is>
      </c>
      <c r="B194" s="10" t="n">
        <v>10464.77061</v>
      </c>
      <c r="C194" s="10" t="n">
        <v>5894.847050769105</v>
      </c>
      <c r="D194" s="10" t="n">
        <v>4569.923559230894</v>
      </c>
    </row>
    <row r="195">
      <c r="A195" s="15" t="inlineStr">
        <is>
          <t>2026-04-02</t>
        </is>
      </c>
      <c r="B195" s="13" t="n">
        <v>10400.140944</v>
      </c>
      <c r="C195" s="13" t="n">
        <v>5611.813787297611</v>
      </c>
      <c r="D195" s="13" t="n">
        <v>4788.327156702388</v>
      </c>
    </row>
    <row r="196">
      <c r="A196" s="14" t="inlineStr">
        <is>
          <t>2026-04-03</t>
        </is>
      </c>
      <c r="B196" s="10" t="n">
        <v>10413.616824</v>
      </c>
      <c r="C196" s="10" t="n">
        <v>5598.066024711943</v>
      </c>
      <c r="D196" s="10" t="n">
        <v>4815.550799288058</v>
      </c>
    </row>
    <row r="197">
      <c r="A197" s="15" t="inlineStr">
        <is>
          <t>2026-04-06</t>
        </is>
      </c>
      <c r="B197" s="13" t="n">
        <v>10375.90344</v>
      </c>
      <c r="C197" s="13" t="n">
        <v>5588.830089575095</v>
      </c>
      <c r="D197" s="13" t="n">
        <v>4787.073350424906</v>
      </c>
    </row>
    <row r="198">
      <c r="A198" s="14" t="inlineStr">
        <is>
          <t>2026-04-07</t>
        </is>
      </c>
      <c r="B198" s="10" t="n">
        <v>10393.702688</v>
      </c>
      <c r="C198" s="10" t="n">
        <v>5560.298914229516</v>
      </c>
      <c r="D198" s="10" t="n">
        <v>4833.403773770486</v>
      </c>
    </row>
    <row r="199">
      <c r="A199" s="15" t="inlineStr">
        <is>
          <t>2026-04-08</t>
        </is>
      </c>
      <c r="B199" s="13" t="n">
        <v>10378.331784</v>
      </c>
      <c r="C199" s="13" t="n">
        <v>5674.044353705846</v>
      </c>
      <c r="D199" s="13" t="n">
        <v>4704.287430294154</v>
      </c>
    </row>
    <row r="200">
      <c r="A200" s="14" t="inlineStr">
        <is>
          <t>2026-04-09</t>
        </is>
      </c>
      <c r="B200" s="10" t="n">
        <v>10305.433572</v>
      </c>
      <c r="C200" s="10" t="n">
        <v>5881.110904186319</v>
      </c>
      <c r="D200" s="10" t="n">
        <v>4424.322667813679</v>
      </c>
    </row>
    <row r="201">
      <c r="A201" s="15" t="inlineStr">
        <is>
          <t>2026-04-10</t>
        </is>
      </c>
      <c r="B201" s="13" t="n">
        <v>10359.907615</v>
      </c>
      <c r="C201" s="13" t="n">
        <v>5898.670166697294</v>
      </c>
      <c r="D201" s="13" t="n">
        <v>4461.237448302706</v>
      </c>
    </row>
    <row r="202">
      <c r="A202" s="14" t="inlineStr">
        <is>
          <t>2026-04-13</t>
        </is>
      </c>
      <c r="B202" s="10" t="n">
        <v>10249.582302</v>
      </c>
      <c r="C202" s="10" t="n">
        <v>6032.301547404671</v>
      </c>
      <c r="D202" s="10" t="n">
        <v>4217.280754595328</v>
      </c>
    </row>
    <row r="203">
      <c r="A203" s="15" t="inlineStr">
        <is>
          <t>2026-04-14</t>
        </is>
      </c>
      <c r="B203" s="13" t="n">
        <v>10296.12623</v>
      </c>
      <c r="C203" s="13" t="n">
        <v>6049.922913976154</v>
      </c>
      <c r="D203" s="13" t="n">
        <v>4246.203316023846</v>
      </c>
    </row>
    <row r="204">
      <c r="A204" s="14" t="inlineStr">
        <is>
          <t>2026-04-15</t>
        </is>
      </c>
      <c r="B204" s="10" t="n">
        <v>10272.727706</v>
      </c>
      <c r="C204" s="10" t="n">
        <v>5913.922838969843</v>
      </c>
      <c r="D204" s="10" t="n">
        <v>4358.804867030159</v>
      </c>
    </row>
    <row r="205">
      <c r="A205" s="15" t="inlineStr">
        <is>
          <t>2026-04-16</t>
        </is>
      </c>
      <c r="B205" s="13" t="n">
        <v>10275.8352754</v>
      </c>
      <c r="C205" s="13" t="n">
        <v>5388.922516735861</v>
      </c>
      <c r="D205" s="13" t="n">
        <v>4886.91275866414</v>
      </c>
    </row>
    <row r="206">
      <c r="A206" s="14" t="inlineStr">
        <is>
          <t>2026-04-17</t>
        </is>
      </c>
      <c r="B206" s="10" t="n">
        <v>10251.692358</v>
      </c>
      <c r="C206" s="10" t="n">
        <v>4459.85997141496</v>
      </c>
      <c r="D206" s="10" t="n">
        <v>5791.832386585041</v>
      </c>
    </row>
    <row r="207">
      <c r="A207" s="15" t="inlineStr">
        <is>
          <t>2026-04-20</t>
        </is>
      </c>
      <c r="B207" s="13" t="n">
        <v>10217.319484</v>
      </c>
      <c r="C207" s="13" t="n">
        <v>4652.776186439524</v>
      </c>
      <c r="D207" s="13" t="n">
        <v>5564.543297560475</v>
      </c>
    </row>
    <row r="208">
      <c r="A208" s="14" t="inlineStr">
        <is>
          <t>2026-04-21</t>
        </is>
      </c>
      <c r="B208" s="10" t="n">
        <v>10218.781482</v>
      </c>
      <c r="C208" s="10" t="n">
        <v>4812.876600182404</v>
      </c>
      <c r="D208" s="10" t="n">
        <v>5405.904881817594</v>
      </c>
    </row>
    <row r="209">
      <c r="A209" s="15" t="inlineStr">
        <is>
          <t>2026-04-22</t>
        </is>
      </c>
      <c r="B209" s="13" t="n">
        <v>10210.975007</v>
      </c>
      <c r="C209" s="13" t="n">
        <v>4787.54721541603</v>
      </c>
      <c r="D209" s="13" t="n">
        <v>5423.427791583969</v>
      </c>
    </row>
    <row r="210">
      <c r="A210" s="14" t="inlineStr">
        <is>
          <t>2026-04-23</t>
        </is>
      </c>
      <c r="B210" s="10" t="n">
        <v>10236.175067</v>
      </c>
      <c r="C210" s="10" t="n">
        <v>3637.441394505966</v>
      </c>
      <c r="D210" s="10" t="n">
        <v>6598.733672494034</v>
      </c>
    </row>
    <row r="211">
      <c r="A211" s="15" t="inlineStr">
        <is>
          <t>2026-04-24</t>
        </is>
      </c>
      <c r="B211" s="13" t="n">
        <v>10225.911235</v>
      </c>
      <c r="C211" s="13" t="n">
        <v>3688.038256807988</v>
      </c>
      <c r="D211" s="13" t="n">
        <v>6537.872978192014</v>
      </c>
    </row>
    <row r="212">
      <c r="A212" s="14" t="inlineStr">
        <is>
          <t>2026-04-27</t>
        </is>
      </c>
      <c r="B212" s="10" t="n">
        <v>10230.030058</v>
      </c>
      <c r="C212" s="10" t="n">
        <v>3699.973318870172</v>
      </c>
      <c r="D212" s="10" t="n">
        <v>6530.056739129826</v>
      </c>
    </row>
    <row r="213">
      <c r="A213" s="15" t="inlineStr">
        <is>
          <t>2026-04-28</t>
        </is>
      </c>
      <c r="B213" s="13" t="n">
        <v>10238.937596</v>
      </c>
      <c r="C213" s="13" t="n">
        <v>4467.69297038005</v>
      </c>
      <c r="D213" s="13" t="n">
        <v>5771.24462561995</v>
      </c>
    </row>
    <row r="214">
      <c r="A214" s="14" t="inlineStr">
        <is>
          <t>2026-04-29</t>
        </is>
      </c>
      <c r="B214" s="10" t="n">
        <v>10274.968597</v>
      </c>
      <c r="C214" s="10" t="n">
        <v>4213.001747314828</v>
      </c>
      <c r="D214" s="10" t="n">
        <v>6061.966849685171</v>
      </c>
    </row>
    <row r="215">
      <c r="A215" s="15" t="inlineStr">
        <is>
          <t>2026-04-30</t>
        </is>
      </c>
      <c r="B215" s="13" t="n">
        <v>10165.364</v>
      </c>
      <c r="C215" s="13" t="n">
        <v>4092.331410805439</v>
      </c>
      <c r="D215" s="13" t="n">
        <v>6073.03258919456</v>
      </c>
    </row>
    <row r="216">
      <c r="A216" s="14" t="inlineStr">
        <is>
          <t>2026-05-01</t>
        </is>
      </c>
      <c r="B216" s="10" t="n">
        <v>10156.053803</v>
      </c>
      <c r="C216" s="10" t="n">
        <v>4016.055420775084</v>
      </c>
      <c r="D216" s="10" t="n">
        <v>6139.998382224915</v>
      </c>
    </row>
    <row r="217">
      <c r="A217" s="15" t="inlineStr">
        <is>
          <t>2026-05-04</t>
        </is>
      </c>
      <c r="B217" s="13" t="n">
        <v>10198.891928</v>
      </c>
      <c r="C217" s="13" t="n">
        <v>4014.013576581408</v>
      </c>
      <c r="D217" s="13" t="n">
        <v>6184.878351418593</v>
      </c>
    </row>
    <row r="218">
      <c r="A218" s="14" t="inlineStr">
        <is>
          <t>2026-05-05</t>
        </is>
      </c>
      <c r="B218" s="10" t="n">
        <v>10156.225078</v>
      </c>
      <c r="C218" s="10" t="n">
        <v>4012.232855266669</v>
      </c>
      <c r="D218" s="10" t="n">
        <v>6143.992222733331</v>
      </c>
    </row>
    <row r="219">
      <c r="A219" s="15" t="inlineStr">
        <is>
          <t>2026-05-06</t>
        </is>
      </c>
      <c r="B219" s="13" t="n">
        <v>10108.621651</v>
      </c>
      <c r="C219" s="13" t="n">
        <v>3947.281186932108</v>
      </c>
      <c r="D219" s="13" t="n">
        <v>6161.340464067894</v>
      </c>
    </row>
    <row r="220">
      <c r="A220" s="14" t="inlineStr">
        <is>
          <t>2026-05-07</t>
        </is>
      </c>
      <c r="B220" s="10" t="n">
        <v>10098.774195</v>
      </c>
      <c r="C220" s="10" t="n">
        <v>4085.505543152736</v>
      </c>
      <c r="D220" s="10" t="n">
        <v>6013.268651847264</v>
      </c>
    </row>
    <row r="221">
      <c r="A221" s="15" t="inlineStr">
        <is>
          <t>2026-05-08</t>
        </is>
      </c>
      <c r="B221" s="13" t="n">
        <v>10080.42703</v>
      </c>
      <c r="C221" s="13" t="n">
        <v>3888.497699646065</v>
      </c>
      <c r="D221" s="13" t="n">
        <v>6191.929330353935</v>
      </c>
    </row>
    <row r="222">
      <c r="A222" s="14" t="inlineStr">
        <is>
          <t>2026-05-11</t>
        </is>
      </c>
      <c r="B222" s="10" t="n">
        <v>10127.093024</v>
      </c>
      <c r="C222" s="10" t="n">
        <v>4141.093493523183</v>
      </c>
      <c r="D222" s="10" t="n">
        <v>5985.999530476817</v>
      </c>
    </row>
    <row r="223">
      <c r="A223" s="15" t="inlineStr">
        <is>
          <t>2026-05-12</t>
        </is>
      </c>
      <c r="B223" s="13" t="n">
        <v>10126.079278</v>
      </c>
      <c r="C223" s="13" t="n">
        <v>3601.582723721107</v>
      </c>
      <c r="D223" s="13" t="n">
        <v>6524.496554278892</v>
      </c>
    </row>
    <row r="224">
      <c r="A224" s="14" t="inlineStr">
        <is>
          <t>2026-05-13</t>
        </is>
      </c>
      <c r="B224" s="10" t="n">
        <v>10157.811861</v>
      </c>
      <c r="C224" s="10" t="n">
        <v>3744.395534160984</v>
      </c>
      <c r="D224" s="10" t="n">
        <v>6413.416326839018</v>
      </c>
    </row>
    <row r="225">
      <c r="A225" s="15" t="inlineStr">
        <is>
          <t>2026-05-14</t>
        </is>
      </c>
      <c r="B225" s="13" t="n">
        <v>10131.055564</v>
      </c>
      <c r="C225" s="13" t="n">
        <v>3408.498563689326</v>
      </c>
      <c r="D225" s="13" t="n">
        <v>6722.557000310675</v>
      </c>
    </row>
    <row r="226">
      <c r="A226" s="14" t="inlineStr">
        <is>
          <t>2026-05-15</t>
        </is>
      </c>
      <c r="B226" s="10" t="n">
        <v>10061.425474</v>
      </c>
      <c r="C226" s="10" t="n">
        <v>3348.859646639261</v>
      </c>
      <c r="D226" s="10" t="n">
        <v>6712.565827360741</v>
      </c>
    </row>
    <row r="227">
      <c r="A227" s="15" t="inlineStr">
        <is>
          <t>2026-05-18</t>
        </is>
      </c>
      <c r="B227" s="13" t="n">
        <v>10016.866585</v>
      </c>
      <c r="C227" s="13" t="n">
        <v>4390.248415169334</v>
      </c>
      <c r="D227" s="13" t="n">
        <v>5626.618169830665</v>
      </c>
    </row>
    <row r="228">
      <c r="A228" s="14" t="inlineStr">
        <is>
          <t>2026-05-19</t>
        </is>
      </c>
      <c r="B228" s="10" t="n">
        <v>10011.828769</v>
      </c>
      <c r="C228" s="10" t="n">
        <v>4394.844391308787</v>
      </c>
      <c r="D228" s="10" t="n">
        <v>5616.984377691213</v>
      </c>
    </row>
    <row r="229">
      <c r="A229" s="15" t="inlineStr">
        <is>
          <t>2026-05-20</t>
        </is>
      </c>
      <c r="B229" s="13" t="n">
        <v>9982.675922999999</v>
      </c>
      <c r="C229" s="13" t="n">
        <v>4385.689607661837</v>
      </c>
      <c r="D229" s="13" t="n">
        <v>5596.986315338162</v>
      </c>
    </row>
    <row r="230">
      <c r="A230" s="14" t="inlineStr">
        <is>
          <t>2026-05-21</t>
        </is>
      </c>
      <c r="B230" s="10" t="n">
        <v>10017.134154</v>
      </c>
      <c r="C230" s="10" t="n">
        <v>4925.115908462257</v>
      </c>
      <c r="D230" s="10" t="n">
        <v>5092.018245537743</v>
      </c>
    </row>
    <row r="231">
      <c r="A231" s="15" t="inlineStr">
        <is>
          <t>2026-05-22</t>
        </is>
      </c>
      <c r="B231" s="13" t="n">
        <v>10104.244023</v>
      </c>
      <c r="C231" s="13" t="n">
        <v>5351.841984297897</v>
      </c>
      <c r="D231" s="13" t="n">
        <v>4752.402038702104</v>
      </c>
    </row>
    <row r="232">
      <c r="A232" s="14" t="inlineStr">
        <is>
          <t>2026-05-25</t>
        </is>
      </c>
      <c r="B232" s="10" t="n">
        <v>10063.952854</v>
      </c>
      <c r="C232" s="10" t="n">
        <v>7181.937131218948</v>
      </c>
      <c r="D232" s="10" t="n">
        <v>2882.015722781053</v>
      </c>
    </row>
    <row r="233">
      <c r="A233" s="15" t="inlineStr">
        <is>
          <t>2026-05-26</t>
        </is>
      </c>
      <c r="B233" s="13" t="n">
        <v>10206.823409</v>
      </c>
      <c r="C233" s="13" t="n">
        <v>8107.539591752142</v>
      </c>
      <c r="D233" s="13" t="n">
        <v>2099.283817247859</v>
      </c>
    </row>
    <row r="234">
      <c r="A234" s="14" t="inlineStr">
        <is>
          <t>2026-05-27</t>
        </is>
      </c>
      <c r="B234" s="10" t="n">
        <v>10018.723409</v>
      </c>
      <c r="C234" s="10" t="n">
        <v>8004.896430702638</v>
      </c>
      <c r="D234" s="10" t="n">
        <v>2013.826978297362</v>
      </c>
    </row>
    <row r="235">
      <c r="A235" s="15" t="inlineStr">
        <is>
          <t>2026-05-28</t>
        </is>
      </c>
      <c r="B235" s="13" t="n">
        <v>12774.325569</v>
      </c>
      <c r="C235" s="13" t="n">
        <v>9094.889239416298</v>
      </c>
      <c r="D235" s="13" t="n">
        <v>3679.436329583703</v>
      </c>
    </row>
    <row r="236">
      <c r="A236" s="14" t="inlineStr">
        <is>
          <t>2026-05-29</t>
        </is>
      </c>
      <c r="B236" s="10" t="n">
        <v>12716.465569</v>
      </c>
      <c r="C236" s="10" t="n">
        <v>9070.639239416298</v>
      </c>
      <c r="D236" s="10" t="n">
        <v>3645.826329583702</v>
      </c>
    </row>
    <row r="237">
      <c r="A237" s="15" t="inlineStr">
        <is>
          <t>2026-06-01</t>
        </is>
      </c>
      <c r="B237" s="13" t="n">
        <v>12577.012019</v>
      </c>
      <c r="C237" s="13" t="n">
        <v>9355.056337300064</v>
      </c>
      <c r="D237" s="13" t="n">
        <v>3221.955681699937</v>
      </c>
    </row>
    <row r="238">
      <c r="A238" s="14" t="inlineStr">
        <is>
          <t>2026-06-02</t>
        </is>
      </c>
      <c r="B238" s="10" t="n">
        <v>12772.943174</v>
      </c>
      <c r="C238" s="10" t="n">
        <v>9764.287475478119</v>
      </c>
      <c r="D238" s="10" t="n">
        <v>3008.655698521881</v>
      </c>
    </row>
    <row r="239">
      <c r="A239" s="15" t="inlineStr">
        <is>
          <t>2026-06-03</t>
        </is>
      </c>
      <c r="B239" s="13" t="n">
        <v>12631.626673</v>
      </c>
      <c r="C239" s="13" t="n">
        <v>9102.0274788811</v>
      </c>
      <c r="D239" s="13" t="n">
        <v>3529.5991941189</v>
      </c>
    </row>
    <row r="240">
      <c r="A240" s="14" t="inlineStr">
        <is>
          <t>2026-06-04</t>
        </is>
      </c>
      <c r="B240" s="10" t="n">
        <v>12721.874435</v>
      </c>
      <c r="C240" s="10" t="n">
        <v>9208.224032428607</v>
      </c>
      <c r="D240" s="10" t="n">
        <v>3513.650402571393</v>
      </c>
    </row>
    <row r="241">
      <c r="A241" s="15" t="inlineStr">
        <is>
          <t>2026-06-05</t>
        </is>
      </c>
      <c r="B241" s="13" t="n">
        <v>12223.380582</v>
      </c>
      <c r="C241" s="13" t="n">
        <v>9376.973809786841</v>
      </c>
      <c r="D241" s="13" t="n">
        <v>2846.40677221316</v>
      </c>
    </row>
    <row r="242">
      <c r="A242" s="14" t="inlineStr">
        <is>
          <t>2026-06-08</t>
        </is>
      </c>
      <c r="B242" s="10" t="n">
        <v>12171.26206</v>
      </c>
      <c r="C242" s="10" t="n">
        <v>9345.268139291062</v>
      </c>
      <c r="D242" s="10" t="n">
        <v>2825.993920708937</v>
      </c>
    </row>
    <row r="243">
      <c r="A243" s="15" t="inlineStr">
        <is>
          <t>2026-06-09</t>
        </is>
      </c>
      <c r="B243" s="13" t="n">
        <v>12025.2746158492</v>
      </c>
      <c r="C243" s="13" t="n">
        <v>10239.90823090305</v>
      </c>
      <c r="D243" s="13" t="n">
        <v>1785.366384946148</v>
      </c>
    </row>
    <row r="244">
      <c r="A244" s="14" t="inlineStr">
        <is>
          <t>2026-06-10</t>
        </is>
      </c>
      <c r="B244" s="10" t="n">
        <v>11743.7485618492</v>
      </c>
      <c r="C244" s="10" t="n">
        <v>10052.13381310882</v>
      </c>
      <c r="D244" s="10" t="n">
        <v>1691.614748740383</v>
      </c>
    </row>
    <row r="245">
      <c r="A245" s="15" t="inlineStr">
        <is>
          <t>2026-06-11</t>
        </is>
      </c>
      <c r="B245" s="13" t="n">
        <v>11993.024997935</v>
      </c>
      <c r="C245" s="13" t="n">
        <v>10401.61182165745</v>
      </c>
      <c r="D245" s="13" t="n">
        <v>1591.413176277547</v>
      </c>
    </row>
    <row r="246">
      <c r="A246" s="14" t="inlineStr">
        <is>
          <t>2026-06-12</t>
        </is>
      </c>
      <c r="B246" s="10" t="n">
        <v>12172.3474477966</v>
      </c>
      <c r="C246" s="10" t="n">
        <v>10822.03596529634</v>
      </c>
      <c r="D246" s="10" t="n">
        <v>1350.311482500256</v>
      </c>
    </row>
    <row r="247">
      <c r="A247" s="15" t="inlineStr">
        <is>
          <t>2026-06-15</t>
        </is>
      </c>
      <c r="B247" s="13" t="n">
        <v>12503.1945390756</v>
      </c>
      <c r="C247" s="13" t="n">
        <v>11097.15596529634</v>
      </c>
      <c r="D247" s="13" t="n">
        <v>1406.038573779257</v>
      </c>
    </row>
    <row r="248">
      <c r="A248" s="14" t="inlineStr">
        <is>
          <t>2026-06-16</t>
        </is>
      </c>
      <c r="B248" s="10" t="n">
        <v>12472.0050230302</v>
      </c>
      <c r="C248" s="10" t="n">
        <v>11097.66918213393</v>
      </c>
      <c r="D248" s="10" t="n">
        <v>1374.335840896267</v>
      </c>
    </row>
    <row r="249">
      <c r="A249" s="15" t="inlineStr">
        <is>
          <t>2026-06-17</t>
        </is>
      </c>
      <c r="B249" s="13" t="n">
        <v>12451.9134130529</v>
      </c>
      <c r="C249" s="13" t="n">
        <v>11141.55689569834</v>
      </c>
      <c r="D249" s="13" t="n">
        <v>1310.356517354563</v>
      </c>
    </row>
    <row r="250">
      <c r="A250" s="14" t="inlineStr">
        <is>
          <t>2026-06-18</t>
        </is>
      </c>
      <c r="B250" s="10" t="n">
        <v>14161.1994150529</v>
      </c>
      <c r="C250" s="10" t="n">
        <v>11245.28534203899</v>
      </c>
      <c r="D250" s="10" t="n">
        <v>2915.914073013904</v>
      </c>
    </row>
    <row r="251">
      <c r="A251" s="15" t="inlineStr">
        <is>
          <t>2026-06-19</t>
        </is>
      </c>
      <c r="B251" s="13" t="n">
        <v>14079.1372370529</v>
      </c>
      <c r="C251" s="13" t="n">
        <v>11163.23545603498</v>
      </c>
      <c r="D251" s="13" t="n">
        <v>2915.901781017918</v>
      </c>
    </row>
    <row r="252">
      <c r="A252" s="14" t="inlineStr">
        <is>
          <t>2026-06-22</t>
        </is>
      </c>
      <c r="B252" s="10" t="n">
        <v>13969.4850240302</v>
      </c>
      <c r="C252" s="10" t="n">
        <v>11228.01158609835</v>
      </c>
      <c r="D252" s="10" t="n">
        <v>2741.473437931851</v>
      </c>
    </row>
    <row r="253">
      <c r="A253" s="15" t="inlineStr">
        <is>
          <t>2026-06-23</t>
        </is>
      </c>
      <c r="B253" s="13" t="n">
        <v>13447.797416547</v>
      </c>
      <c r="C253" s="13" t="n">
        <v>11299.53630732896</v>
      </c>
      <c r="D253" s="13" t="n">
        <v>2148.261109218041</v>
      </c>
    </row>
    <row r="254">
      <c r="A254" s="14" t="inlineStr">
        <is>
          <t>2026-06-24</t>
        </is>
      </c>
      <c r="B254" s="10" t="n">
        <v>13118.907298866</v>
      </c>
      <c r="C254" s="10" t="n">
        <v>10779.14878479057</v>
      </c>
      <c r="D254" s="10" t="n">
        <v>2339.758514075431</v>
      </c>
    </row>
    <row r="255">
      <c r="A255" s="15" t="inlineStr">
        <is>
          <t>2026-06-25</t>
        </is>
      </c>
      <c r="B255" s="13" t="n">
        <v>13187.658049866</v>
      </c>
      <c r="C255" s="13" t="n">
        <v>9658.599949898586</v>
      </c>
      <c r="D255" s="13" t="n">
        <v>3529.058099967413</v>
      </c>
    </row>
    <row r="256">
      <c r="A256" s="14" t="inlineStr">
        <is>
          <t>2026-06-26</t>
        </is>
      </c>
      <c r="B256" s="10" t="n">
        <v>13129.471318547</v>
      </c>
      <c r="C256" s="10" t="n">
        <v>9606.826913321354</v>
      </c>
      <c r="D256" s="10" t="n">
        <v>3522.644405225645</v>
      </c>
    </row>
    <row r="257">
      <c r="A257" s="15" t="inlineStr">
        <is>
          <t>2026-06-29</t>
        </is>
      </c>
      <c r="B257" s="13" t="n">
        <v>13158.0105874144</v>
      </c>
      <c r="C257" s="13" t="n">
        <v>11645.05461945114</v>
      </c>
      <c r="D257" s="13" t="n">
        <v>1512.955967963262</v>
      </c>
    </row>
    <row r="258">
      <c r="A258" s="14" t="inlineStr">
        <is>
          <t>2026-06-30</t>
        </is>
      </c>
      <c r="B258" s="10" t="n">
        <v>13218.1011971632</v>
      </c>
      <c r="C258" s="10" t="n">
        <v>11702.13646161176</v>
      </c>
      <c r="D258" s="10" t="n">
        <v>1515.964735551437</v>
      </c>
    </row>
    <row r="259">
      <c r="A259" s="15" t="inlineStr">
        <is>
          <t>2026-07-01</t>
        </is>
      </c>
      <c r="B259" s="13" t="n">
        <v>13085.7959779684</v>
      </c>
      <c r="C259" s="13" t="n">
        <v>12184.255674789</v>
      </c>
      <c r="D259" s="13" t="n">
        <v>901.5403031793958</v>
      </c>
    </row>
    <row r="260">
      <c r="A260" s="14" t="inlineStr">
        <is>
          <t>2026-07-02</t>
        </is>
      </c>
      <c r="B260" s="10" t="n">
        <v>12722.7749369684</v>
      </c>
      <c r="C260" s="10" t="n">
        <v>11342.29952539766</v>
      </c>
      <c r="D260" s="10" t="n">
        <v>1380.475411570744</v>
      </c>
    </row>
    <row r="261">
      <c r="A261" s="15" t="inlineStr">
        <is>
          <t>2026-07-03</t>
        </is>
      </c>
      <c r="B261" s="13" t="n">
        <v>12866.7986427752</v>
      </c>
      <c r="C261" s="13" t="n">
        <v>11389.20845048086</v>
      </c>
      <c r="D261" s="13" t="n">
        <v>1477.590192294338</v>
      </c>
    </row>
    <row r="262">
      <c r="A262" s="14" t="inlineStr">
        <is>
          <t>2026-07-05</t>
        </is>
      </c>
      <c r="B262" s="10" t="n">
        <v>12864.88134</v>
      </c>
      <c r="C262" s="10" t="n">
        <v>11389.20845048086</v>
      </c>
      <c r="D262" s="10" t="n">
        <v>1475.672889519135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0"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0" customHeight="1">
      <c r="A1" s="7" t="inlineStr">
        <is>
          <t>Ticker</t>
        </is>
      </c>
      <c r="B1" s="7" t="inlineStr">
        <is>
          <t>Company</t>
        </is>
      </c>
      <c r="C1" s="7" t="inlineStr">
        <is>
          <t>Sector</t>
        </is>
      </c>
      <c r="D1" s="7" t="inlineStr">
        <is>
          <t>Currency</t>
        </is>
      </c>
      <c r="E1" s="7" t="inlineStr">
        <is>
          <t>Shares</t>
        </is>
      </c>
      <c r="F1" s="7" t="inlineStr">
        <is>
          <t>Avg Cost</t>
        </is>
      </c>
      <c r="G1" s="7" t="inlineStr">
        <is>
          <t>Current Price</t>
        </is>
      </c>
      <c r="H1" s="7" t="inlineStr">
        <is>
          <t>Day Change %</t>
        </is>
      </c>
      <c r="I1" s="7" t="inlineStr">
        <is>
          <t>Cost Basis ($)</t>
        </is>
      </c>
      <c r="J1" s="7" t="inlineStr">
        <is>
          <t>Market Value ($)</t>
        </is>
      </c>
      <c r="K1" s="7" t="inlineStr">
        <is>
          <t>Unrealized P&amp;L ($)</t>
        </is>
      </c>
      <c r="L1" s="7" t="inlineStr">
        <is>
          <t>P&amp;L %</t>
        </is>
      </c>
      <c r="M1" s="7" t="inlineStr">
        <is>
          <t>Portfolio Weight</t>
        </is>
      </c>
    </row>
    <row r="2">
      <c r="A2" s="8">
        <f>'Reference_Data'!A2</f>
        <v/>
      </c>
      <c r="B2" s="8">
        <f>'Reference_Data'!B2</f>
        <v/>
      </c>
      <c r="C2" s="8">
        <f>'Reference_Data'!C2</f>
        <v/>
      </c>
      <c r="D2" s="8">
        <f>'Reference_Data'!H2</f>
        <v/>
      </c>
      <c r="E2" s="8">
        <f>'Daily_Units'!O$262</f>
        <v/>
      </c>
      <c r="F2" s="9">
        <f>'Reference_Data'!G2</f>
        <v/>
      </c>
      <c r="G2" s="9">
        <f>'Market_Data'!B$262</f>
        <v/>
      </c>
      <c r="H2" s="16">
        <f>('Market_Data'!B$262-'Market_Data'!B$261)/'Market_Data'!B$261</f>
        <v/>
      </c>
      <c r="I2" s="10">
        <f>E2*F2</f>
        <v/>
      </c>
      <c r="J2" s="10">
        <f>E2*G2</f>
        <v/>
      </c>
      <c r="K2" s="10">
        <f>J2-I2</f>
        <v/>
      </c>
      <c r="L2" s="16">
        <f>IFERROR(K2/I2,0)</f>
        <v/>
      </c>
      <c r="M2" s="16">
        <f>J2/SUM($J$2:$J$19)</f>
        <v/>
      </c>
    </row>
    <row r="3">
      <c r="A3" s="11">
        <f>'Reference_Data'!A3</f>
        <v/>
      </c>
      <c r="B3" s="11">
        <f>'Reference_Data'!B3</f>
        <v/>
      </c>
      <c r="C3" s="11">
        <f>'Reference_Data'!C3</f>
        <v/>
      </c>
      <c r="D3" s="11">
        <f>'Reference_Data'!H3</f>
        <v/>
      </c>
      <c r="E3" s="11">
        <f>'Daily_Units'!R$262</f>
        <v/>
      </c>
      <c r="F3" s="12">
        <f>'Reference_Data'!G3</f>
        <v/>
      </c>
      <c r="G3" s="12">
        <f>'Market_Data'!C$262</f>
        <v/>
      </c>
      <c r="H3" s="17">
        <f>('Market_Data'!C$262-'Market_Data'!C$261)/'Market_Data'!C$261</f>
        <v/>
      </c>
      <c r="I3" s="13">
        <f>E3*F3</f>
        <v/>
      </c>
      <c r="J3" s="13">
        <f>E3*G3</f>
        <v/>
      </c>
      <c r="K3" s="13">
        <f>J3-I3</f>
        <v/>
      </c>
      <c r="L3" s="17">
        <f>IFERROR(K3/I3,0)</f>
        <v/>
      </c>
      <c r="M3" s="17">
        <f>J3/SUM($J$2:$J$19)</f>
        <v/>
      </c>
    </row>
    <row r="4">
      <c r="A4" s="8">
        <f>'Reference_Data'!A4</f>
        <v/>
      </c>
      <c r="B4" s="8">
        <f>'Reference_Data'!B4</f>
        <v/>
      </c>
      <c r="C4" s="8">
        <f>'Reference_Data'!C4</f>
        <v/>
      </c>
      <c r="D4" s="8">
        <f>'Reference_Data'!H4</f>
        <v/>
      </c>
      <c r="E4" s="8">
        <f>'Daily_Units'!Y$262</f>
        <v/>
      </c>
      <c r="F4" s="9">
        <f>'Reference_Data'!G4</f>
        <v/>
      </c>
      <c r="G4" s="9">
        <f>'Market_Data'!D$262</f>
        <v/>
      </c>
      <c r="H4" s="16">
        <f>('Market_Data'!D$262-'Market_Data'!D$261)/'Market_Data'!D$261</f>
        <v/>
      </c>
      <c r="I4" s="10">
        <f>E4*F4</f>
        <v/>
      </c>
      <c r="J4" s="10">
        <f>E4*G4</f>
        <v/>
      </c>
      <c r="K4" s="10">
        <f>J4-I4</f>
        <v/>
      </c>
      <c r="L4" s="16">
        <f>IFERROR(K4/I4,0)</f>
        <v/>
      </c>
      <c r="M4" s="16">
        <f>J4/SUM($J$2:$J$19)</f>
        <v/>
      </c>
    </row>
    <row r="5">
      <c r="A5" s="11">
        <f>'Reference_Data'!A5</f>
        <v/>
      </c>
      <c r="B5" s="11">
        <f>'Reference_Data'!B5</f>
        <v/>
      </c>
      <c r="C5" s="11">
        <f>'Reference_Data'!C5</f>
        <v/>
      </c>
      <c r="D5" s="11">
        <f>'Reference_Data'!H5</f>
        <v/>
      </c>
      <c r="E5" s="11">
        <f>'Daily_Units'!Z$262</f>
        <v/>
      </c>
      <c r="F5" s="12">
        <f>'Reference_Data'!G5</f>
        <v/>
      </c>
      <c r="G5" s="12">
        <f>'Market_Data'!E$262</f>
        <v/>
      </c>
      <c r="H5" s="17">
        <f>('Market_Data'!E$262-'Market_Data'!E$261)/'Market_Data'!E$261</f>
        <v/>
      </c>
      <c r="I5" s="13">
        <f>E5*F5/'Market_Data'!$T$262</f>
        <v/>
      </c>
      <c r="J5" s="13">
        <f>E5*G5/'Market_Data'!$T$262</f>
        <v/>
      </c>
      <c r="K5" s="13">
        <f>J5-I5</f>
        <v/>
      </c>
      <c r="L5" s="17">
        <f>IFERROR(K5/I5,0)</f>
        <v/>
      </c>
      <c r="M5" s="17">
        <f>J5/SUM($J$2:$J$19)</f>
        <v/>
      </c>
    </row>
    <row r="6">
      <c r="A6" s="8">
        <f>'Reference_Data'!A6</f>
        <v/>
      </c>
      <c r="B6" s="8">
        <f>'Reference_Data'!B6</f>
        <v/>
      </c>
      <c r="C6" s="8">
        <f>'Reference_Data'!C6</f>
        <v/>
      </c>
      <c r="D6" s="8">
        <f>'Reference_Data'!H6</f>
        <v/>
      </c>
      <c r="E6" s="8">
        <f>'Daily_Units'!AA$262</f>
        <v/>
      </c>
      <c r="F6" s="9">
        <f>'Reference_Data'!G6</f>
        <v/>
      </c>
      <c r="G6" s="9">
        <f>'Market_Data'!F$262</f>
        <v/>
      </c>
      <c r="H6" s="16">
        <f>('Market_Data'!F$262-'Market_Data'!F$261)/'Market_Data'!F$261</f>
        <v/>
      </c>
      <c r="I6" s="10">
        <f>E6*F6/'Market_Data'!$T$262</f>
        <v/>
      </c>
      <c r="J6" s="10">
        <f>E6*G6/'Market_Data'!$T$262</f>
        <v/>
      </c>
      <c r="K6" s="10">
        <f>J6-I6</f>
        <v/>
      </c>
      <c r="L6" s="16">
        <f>IFERROR(K6/I6,0)</f>
        <v/>
      </c>
      <c r="M6" s="16">
        <f>J6/SUM($J$2:$J$19)</f>
        <v/>
      </c>
    </row>
    <row r="7">
      <c r="A7" s="11">
        <f>'Reference_Data'!A7</f>
        <v/>
      </c>
      <c r="B7" s="11">
        <f>'Reference_Data'!B7</f>
        <v/>
      </c>
      <c r="C7" s="11">
        <f>'Reference_Data'!C7</f>
        <v/>
      </c>
      <c r="D7" s="11">
        <f>'Reference_Data'!H7</f>
        <v/>
      </c>
      <c r="E7" s="11">
        <f>'Daily_Units'!AB$262</f>
        <v/>
      </c>
      <c r="F7" s="12">
        <f>'Reference_Data'!G7</f>
        <v/>
      </c>
      <c r="G7" s="12">
        <f>'Market_Data'!G$262</f>
        <v/>
      </c>
      <c r="H7" s="17">
        <f>('Market_Data'!G$262-'Market_Data'!G$261)/'Market_Data'!G$261</f>
        <v/>
      </c>
      <c r="I7" s="13">
        <f>E7*F7/'Market_Data'!$T$262</f>
        <v/>
      </c>
      <c r="J7" s="13">
        <f>E7*G7/'Market_Data'!$T$262</f>
        <v/>
      </c>
      <c r="K7" s="13">
        <f>J7-I7</f>
        <v/>
      </c>
      <c r="L7" s="17">
        <f>IFERROR(K7/I7,0)</f>
        <v/>
      </c>
      <c r="M7" s="17">
        <f>J7/SUM($J$2:$J$19)</f>
        <v/>
      </c>
    </row>
    <row r="8">
      <c r="A8" s="8">
        <f>'Reference_Data'!A8</f>
        <v/>
      </c>
      <c r="B8" s="8">
        <f>'Reference_Data'!B8</f>
        <v/>
      </c>
      <c r="C8" s="8">
        <f>'Reference_Data'!C8</f>
        <v/>
      </c>
      <c r="D8" s="8">
        <f>'Reference_Data'!H8</f>
        <v/>
      </c>
      <c r="E8" s="8">
        <f>'Daily_Units'!AE$262</f>
        <v/>
      </c>
      <c r="F8" s="9">
        <f>'Reference_Data'!G8</f>
        <v/>
      </c>
      <c r="G8" s="9">
        <f>'Market_Data'!H$262</f>
        <v/>
      </c>
      <c r="H8" s="16">
        <f>('Market_Data'!H$262-'Market_Data'!H$261)/'Market_Data'!H$261</f>
        <v/>
      </c>
      <c r="I8" s="10">
        <f>E8*F8</f>
        <v/>
      </c>
      <c r="J8" s="10">
        <f>E8*G8</f>
        <v/>
      </c>
      <c r="K8" s="10">
        <f>J8-I8</f>
        <v/>
      </c>
      <c r="L8" s="16">
        <f>IFERROR(K8/I8,0)</f>
        <v/>
      </c>
      <c r="M8" s="16">
        <f>J8/SUM($J$2:$J$19)</f>
        <v/>
      </c>
    </row>
    <row r="9">
      <c r="A9" s="11">
        <f>'Reference_Data'!A9</f>
        <v/>
      </c>
      <c r="B9" s="11">
        <f>'Reference_Data'!B9</f>
        <v/>
      </c>
      <c r="C9" s="11">
        <f>'Reference_Data'!C9</f>
        <v/>
      </c>
      <c r="D9" s="11">
        <f>'Reference_Data'!H9</f>
        <v/>
      </c>
      <c r="E9" s="11">
        <f>'Daily_Units'!AG$262</f>
        <v/>
      </c>
      <c r="F9" s="12">
        <f>'Reference_Data'!G9</f>
        <v/>
      </c>
      <c r="G9" s="12">
        <f>'Market_Data'!I$262</f>
        <v/>
      </c>
      <c r="H9" s="17">
        <f>('Market_Data'!I$262-'Market_Data'!I$261)/'Market_Data'!I$261</f>
        <v/>
      </c>
      <c r="I9" s="13">
        <f>E9*F9</f>
        <v/>
      </c>
      <c r="J9" s="13">
        <f>E9*G9</f>
        <v/>
      </c>
      <c r="K9" s="13">
        <f>J9-I9</f>
        <v/>
      </c>
      <c r="L9" s="17">
        <f>IFERROR(K9/I9,0)</f>
        <v/>
      </c>
      <c r="M9" s="17">
        <f>J9/SUM($J$2:$J$19)</f>
        <v/>
      </c>
    </row>
    <row r="10">
      <c r="A10" s="8">
        <f>'Reference_Data'!A10</f>
        <v/>
      </c>
      <c r="B10" s="8">
        <f>'Reference_Data'!B10</f>
        <v/>
      </c>
      <c r="C10" s="8">
        <f>'Reference_Data'!C10</f>
        <v/>
      </c>
      <c r="D10" s="8">
        <f>'Reference_Data'!H10</f>
        <v/>
      </c>
      <c r="E10" s="8">
        <f>'Daily_Units'!AJ$262</f>
        <v/>
      </c>
      <c r="F10" s="9">
        <f>'Reference_Data'!G10</f>
        <v/>
      </c>
      <c r="G10" s="9">
        <f>'Market_Data'!J$262</f>
        <v/>
      </c>
      <c r="H10" s="16">
        <f>('Market_Data'!J$262-'Market_Data'!J$261)/'Market_Data'!J$261</f>
        <v/>
      </c>
      <c r="I10" s="10">
        <f>E10*F10</f>
        <v/>
      </c>
      <c r="J10" s="10">
        <f>E10*G10</f>
        <v/>
      </c>
      <c r="K10" s="10">
        <f>J10-I10</f>
        <v/>
      </c>
      <c r="L10" s="16">
        <f>IFERROR(K10/I10,0)</f>
        <v/>
      </c>
      <c r="M10" s="16">
        <f>J10/SUM($J$2:$J$19)</f>
        <v/>
      </c>
    </row>
    <row r="11">
      <c r="A11" s="11">
        <f>'Reference_Data'!A11</f>
        <v/>
      </c>
      <c r="B11" s="11">
        <f>'Reference_Data'!B11</f>
        <v/>
      </c>
      <c r="C11" s="11">
        <f>'Reference_Data'!C11</f>
        <v/>
      </c>
      <c r="D11" s="11">
        <f>'Reference_Data'!H11</f>
        <v/>
      </c>
      <c r="E11" s="11">
        <f>'Daily_Units'!AX$262</f>
        <v/>
      </c>
      <c r="F11" s="12">
        <f>'Reference_Data'!G11</f>
        <v/>
      </c>
      <c r="G11" s="12">
        <f>'Market_Data'!K$262</f>
        <v/>
      </c>
      <c r="H11" s="17">
        <f>('Market_Data'!K$262-'Market_Data'!K$261)/'Market_Data'!K$261</f>
        <v/>
      </c>
      <c r="I11" s="13">
        <f>E11*F11</f>
        <v/>
      </c>
      <c r="J11" s="13">
        <f>E11*G11</f>
        <v/>
      </c>
      <c r="K11" s="13">
        <f>J11-I11</f>
        <v/>
      </c>
      <c r="L11" s="17">
        <f>IFERROR(K11/I11,0)</f>
        <v/>
      </c>
      <c r="M11" s="17">
        <f>J11/SUM($J$2:$J$19)</f>
        <v/>
      </c>
    </row>
    <row r="12">
      <c r="A12" s="8">
        <f>'Reference_Data'!A12</f>
        <v/>
      </c>
      <c r="B12" s="8">
        <f>'Reference_Data'!B12</f>
        <v/>
      </c>
      <c r="C12" s="8">
        <f>'Reference_Data'!C12</f>
        <v/>
      </c>
      <c r="D12" s="8">
        <f>'Reference_Data'!H12</f>
        <v/>
      </c>
      <c r="E12" s="8">
        <f>'Daily_Units'!BB$262</f>
        <v/>
      </c>
      <c r="F12" s="9">
        <f>'Reference_Data'!G12</f>
        <v/>
      </c>
      <c r="G12" s="9">
        <f>'Market_Data'!L$262</f>
        <v/>
      </c>
      <c r="H12" s="16">
        <f>('Market_Data'!L$262-'Market_Data'!L$261)/'Market_Data'!L$261</f>
        <v/>
      </c>
      <c r="I12" s="10">
        <f>E12*F12</f>
        <v/>
      </c>
      <c r="J12" s="10">
        <f>E12*G12</f>
        <v/>
      </c>
      <c r="K12" s="10">
        <f>J12-I12</f>
        <v/>
      </c>
      <c r="L12" s="16">
        <f>IFERROR(K12/I12,0)</f>
        <v/>
      </c>
      <c r="M12" s="16">
        <f>J12/SUM($J$2:$J$19)</f>
        <v/>
      </c>
    </row>
    <row r="13">
      <c r="A13" s="11">
        <f>'Reference_Data'!A13</f>
        <v/>
      </c>
      <c r="B13" s="11">
        <f>'Reference_Data'!B13</f>
        <v/>
      </c>
      <c r="C13" s="11">
        <f>'Reference_Data'!C13</f>
        <v/>
      </c>
      <c r="D13" s="11">
        <f>'Reference_Data'!H13</f>
        <v/>
      </c>
      <c r="E13" s="11">
        <f>'Daily_Units'!BC$262</f>
        <v/>
      </c>
      <c r="F13" s="12">
        <f>'Reference_Data'!G13</f>
        <v/>
      </c>
      <c r="G13" s="12">
        <f>'Market_Data'!M$262</f>
        <v/>
      </c>
      <c r="H13" s="17">
        <f>('Market_Data'!M$262-'Market_Data'!M$261)/'Market_Data'!M$261</f>
        <v/>
      </c>
      <c r="I13" s="13">
        <f>E13*F13</f>
        <v/>
      </c>
      <c r="J13" s="13">
        <f>E13*G13</f>
        <v/>
      </c>
      <c r="K13" s="13">
        <f>J13-I13</f>
        <v/>
      </c>
      <c r="L13" s="17">
        <f>IFERROR(K13/I13,0)</f>
        <v/>
      </c>
      <c r="M13" s="17">
        <f>J13/SUM($J$2:$J$19)</f>
        <v/>
      </c>
    </row>
    <row r="14">
      <c r="A14" s="8">
        <f>'Reference_Data'!A14</f>
        <v/>
      </c>
      <c r="B14" s="8">
        <f>'Reference_Data'!B14</f>
        <v/>
      </c>
      <c r="C14" s="8">
        <f>'Reference_Data'!C14</f>
        <v/>
      </c>
      <c r="D14" s="8">
        <f>'Reference_Data'!H14</f>
        <v/>
      </c>
      <c r="E14" s="8">
        <f>'Daily_Units'!BH$262</f>
        <v/>
      </c>
      <c r="F14" s="9">
        <f>'Reference_Data'!G14</f>
        <v/>
      </c>
      <c r="G14" s="9">
        <f>'Market_Data'!N$262</f>
        <v/>
      </c>
      <c r="H14" s="16">
        <f>('Market_Data'!N$262-'Market_Data'!N$261)/'Market_Data'!N$261</f>
        <v/>
      </c>
      <c r="I14" s="10">
        <f>E14*F14/'Market_Data'!$T$262</f>
        <v/>
      </c>
      <c r="J14" s="10">
        <f>E14*G14/'Market_Data'!$T$262</f>
        <v/>
      </c>
      <c r="K14" s="10">
        <f>J14-I14</f>
        <v/>
      </c>
      <c r="L14" s="16">
        <f>IFERROR(K14/I14,0)</f>
        <v/>
      </c>
      <c r="M14" s="16">
        <f>J14/SUM($J$2:$J$19)</f>
        <v/>
      </c>
    </row>
    <row r="15">
      <c r="A15" s="11">
        <f>'Reference_Data'!A15</f>
        <v/>
      </c>
      <c r="B15" s="11">
        <f>'Reference_Data'!B15</f>
        <v/>
      </c>
      <c r="C15" s="11">
        <f>'Reference_Data'!C15</f>
        <v/>
      </c>
      <c r="D15" s="11">
        <f>'Reference_Data'!H15</f>
        <v/>
      </c>
      <c r="E15" s="11">
        <f>'Daily_Units'!BM$262</f>
        <v/>
      </c>
      <c r="F15" s="12">
        <f>'Reference_Data'!G15</f>
        <v/>
      </c>
      <c r="G15" s="12">
        <f>'Market_Data'!O$262</f>
        <v/>
      </c>
      <c r="H15" s="17">
        <f>('Market_Data'!O$262-'Market_Data'!O$261)/'Market_Data'!O$261</f>
        <v/>
      </c>
      <c r="I15" s="13">
        <f>E15*F15</f>
        <v/>
      </c>
      <c r="J15" s="13">
        <f>E15*G15</f>
        <v/>
      </c>
      <c r="K15" s="13">
        <f>J15-I15</f>
        <v/>
      </c>
      <c r="L15" s="17">
        <f>IFERROR(K15/I15,0)</f>
        <v/>
      </c>
      <c r="M15" s="17">
        <f>J15/SUM($J$2:$J$19)</f>
        <v/>
      </c>
    </row>
    <row r="16">
      <c r="A16" s="8">
        <f>'Reference_Data'!A16</f>
        <v/>
      </c>
      <c r="B16" s="8">
        <f>'Reference_Data'!B16</f>
        <v/>
      </c>
      <c r="C16" s="8">
        <f>'Reference_Data'!C16</f>
        <v/>
      </c>
      <c r="D16" s="8">
        <f>'Reference_Data'!H16</f>
        <v/>
      </c>
      <c r="E16" s="8">
        <f>'Daily_Units'!BR$262</f>
        <v/>
      </c>
      <c r="F16" s="9">
        <f>'Reference_Data'!G16</f>
        <v/>
      </c>
      <c r="G16" s="9">
        <f>'Market_Data'!P$262</f>
        <v/>
      </c>
      <c r="H16" s="16">
        <f>('Market_Data'!P$262-'Market_Data'!P$261)/'Market_Data'!P$261</f>
        <v/>
      </c>
      <c r="I16" s="10">
        <f>E16*F16</f>
        <v/>
      </c>
      <c r="J16" s="10">
        <f>E16*G16</f>
        <v/>
      </c>
      <c r="K16" s="10">
        <f>J16-I16</f>
        <v/>
      </c>
      <c r="L16" s="16">
        <f>IFERROR(K16/I16,0)</f>
        <v/>
      </c>
      <c r="M16" s="16">
        <f>J16/SUM($J$2:$J$19)</f>
        <v/>
      </c>
    </row>
    <row r="17">
      <c r="A17" s="11">
        <f>'Reference_Data'!A17</f>
        <v/>
      </c>
      <c r="B17" s="11">
        <f>'Reference_Data'!B17</f>
        <v/>
      </c>
      <c r="C17" s="11">
        <f>'Reference_Data'!C17</f>
        <v/>
      </c>
      <c r="D17" s="11">
        <f>'Reference_Data'!H17</f>
        <v/>
      </c>
      <c r="E17" s="11">
        <f>'Daily_Units'!BW$262</f>
        <v/>
      </c>
      <c r="F17" s="12">
        <f>'Reference_Data'!G17</f>
        <v/>
      </c>
      <c r="G17" s="12">
        <f>'Market_Data'!Q$262</f>
        <v/>
      </c>
      <c r="H17" s="17">
        <f>('Market_Data'!Q$262-'Market_Data'!Q$261)/'Market_Data'!Q$261</f>
        <v/>
      </c>
      <c r="I17" s="13">
        <f>E17*F17</f>
        <v/>
      </c>
      <c r="J17" s="13">
        <f>E17*G17</f>
        <v/>
      </c>
      <c r="K17" s="13">
        <f>J17-I17</f>
        <v/>
      </c>
      <c r="L17" s="17">
        <f>IFERROR(K17/I17,0)</f>
        <v/>
      </c>
      <c r="M17" s="17">
        <f>J17/SUM($J$2:$J$19)</f>
        <v/>
      </c>
    </row>
    <row r="18">
      <c r="A18" s="8">
        <f>'Reference_Data'!A18</f>
        <v/>
      </c>
      <c r="B18" s="8">
        <f>'Reference_Data'!B18</f>
        <v/>
      </c>
      <c r="C18" s="8">
        <f>'Reference_Data'!C18</f>
        <v/>
      </c>
      <c r="D18" s="8">
        <f>'Reference_Data'!H18</f>
        <v/>
      </c>
      <c r="E18" s="8">
        <f>'Daily_Units'!CA$262</f>
        <v/>
      </c>
      <c r="F18" s="9">
        <f>'Reference_Data'!G18</f>
        <v/>
      </c>
      <c r="G18" s="9">
        <f>'Market_Data'!R$262</f>
        <v/>
      </c>
      <c r="H18" s="16">
        <f>('Market_Data'!R$262-'Market_Data'!R$261)/'Market_Data'!R$261</f>
        <v/>
      </c>
      <c r="I18" s="10">
        <f>E18*F18</f>
        <v/>
      </c>
      <c r="J18" s="10">
        <f>E18*G18</f>
        <v/>
      </c>
      <c r="K18" s="10">
        <f>J18-I18</f>
        <v/>
      </c>
      <c r="L18" s="16">
        <f>IFERROR(K18/I18,0)</f>
        <v/>
      </c>
      <c r="M18" s="16">
        <f>J18/SUM($J$2:$J$19)</f>
        <v/>
      </c>
    </row>
    <row r="19">
      <c r="A19" s="11">
        <f>'Reference_Data'!A19</f>
        <v/>
      </c>
      <c r="B19" s="11">
        <f>'Reference_Data'!B19</f>
        <v/>
      </c>
      <c r="C19" s="11">
        <f>'Reference_Data'!C19</f>
        <v/>
      </c>
      <c r="D19" s="11">
        <f>'Reference_Data'!H19</f>
        <v/>
      </c>
      <c r="E19" s="11">
        <f>'Daily_Units'!CC$262</f>
        <v/>
      </c>
      <c r="F19" s="12">
        <f>'Reference_Data'!G19</f>
        <v/>
      </c>
      <c r="G19" s="12">
        <f>'Market_Data'!S$262</f>
        <v/>
      </c>
      <c r="H19" s="17">
        <f>('Market_Data'!S$262-'Market_Data'!S$261)/'Market_Data'!S$261</f>
        <v/>
      </c>
      <c r="I19" s="13">
        <f>E19*F19</f>
        <v/>
      </c>
      <c r="J19" s="13">
        <f>E19*G19</f>
        <v/>
      </c>
      <c r="K19" s="13">
        <f>J19-I19</f>
        <v/>
      </c>
      <c r="L19" s="17">
        <f>IFERROR(K19/I19,0)</f>
        <v/>
      </c>
      <c r="M19" s="17">
        <f>J19/SUM($J$2:$J$19)</f>
        <v/>
      </c>
    </row>
  </sheetData>
  <conditionalFormatting sqref="H2:H1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K2:K1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L2:L19">
    <cfRule type="cellIs" priority="5" operator="greaterThan" dxfId="0">
      <formula>0</formula>
    </cfRule>
    <cfRule type="cellIs" priority="6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2"/>
  <sheetViews>
    <sheetView showGridLines="0"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7" t="inlineStr">
        <is>
          <t>Date</t>
        </is>
      </c>
      <c r="B1" s="7" t="inlineStr">
        <is>
          <t>Cash ($)</t>
        </is>
      </c>
      <c r="C1" s="7" t="inlineStr">
        <is>
          <t>Invested Value ($)</t>
        </is>
      </c>
      <c r="D1" s="7" t="inlineStr">
        <is>
          <t>Total NAV ($)</t>
        </is>
      </c>
      <c r="E1" s="7" t="inlineStr">
        <is>
          <t>Daily Return</t>
        </is>
      </c>
      <c r="F1" s="7" t="inlineStr">
        <is>
          <t>Cumulative Return</t>
        </is>
      </c>
      <c r="G1" s="7" t="inlineStr">
        <is>
          <t>Drawdown</t>
        </is>
      </c>
    </row>
    <row r="2">
      <c r="A2" s="14">
        <f>'Daily_Cash'!A2</f>
        <v/>
      </c>
      <c r="B2" s="10">
        <f>'Daily_Cash'!D2</f>
        <v/>
      </c>
      <c r="C2" s="10">
        <f>D2-B2</f>
        <v/>
      </c>
      <c r="D2" s="10">
        <f>'Daily_Cash'!B2</f>
        <v/>
      </c>
      <c r="E2" s="16" t="n">
        <v>0</v>
      </c>
      <c r="F2" s="16">
        <f>D2/D$2-1</f>
        <v/>
      </c>
      <c r="G2" s="16">
        <f>D2/MAX(D$2:D2)-1</f>
        <v/>
      </c>
    </row>
    <row r="3">
      <c r="A3" s="15">
        <f>'Daily_Cash'!A3</f>
        <v/>
      </c>
      <c r="B3" s="13">
        <f>'Daily_Cash'!D3</f>
        <v/>
      </c>
      <c r="C3" s="13">
        <f>D3-B3</f>
        <v/>
      </c>
      <c r="D3" s="13">
        <f>'Daily_Cash'!B3</f>
        <v/>
      </c>
      <c r="E3" s="17">
        <f>D3/D2-1</f>
        <v/>
      </c>
      <c r="F3" s="17">
        <f>D3/D$2-1</f>
        <v/>
      </c>
      <c r="G3" s="17">
        <f>D3/MAX(D$2:D3)-1</f>
        <v/>
      </c>
    </row>
    <row r="4">
      <c r="A4" s="14">
        <f>'Daily_Cash'!A4</f>
        <v/>
      </c>
      <c r="B4" s="10">
        <f>'Daily_Cash'!D4</f>
        <v/>
      </c>
      <c r="C4" s="10">
        <f>D4-B4</f>
        <v/>
      </c>
      <c r="D4" s="10">
        <f>'Daily_Cash'!B4</f>
        <v/>
      </c>
      <c r="E4" s="16">
        <f>D4/D3-1</f>
        <v/>
      </c>
      <c r="F4" s="16">
        <f>D4/D$2-1</f>
        <v/>
      </c>
      <c r="G4" s="16">
        <f>D4/MAX(D$2:D4)-1</f>
        <v/>
      </c>
    </row>
    <row r="5">
      <c r="A5" s="15">
        <f>'Daily_Cash'!A5</f>
        <v/>
      </c>
      <c r="B5" s="13">
        <f>'Daily_Cash'!D5</f>
        <v/>
      </c>
      <c r="C5" s="13">
        <f>D5-B5</f>
        <v/>
      </c>
      <c r="D5" s="13">
        <f>'Daily_Cash'!B5</f>
        <v/>
      </c>
      <c r="E5" s="17">
        <f>D5/D4-1</f>
        <v/>
      </c>
      <c r="F5" s="17">
        <f>D5/D$2-1</f>
        <v/>
      </c>
      <c r="G5" s="17">
        <f>D5/MAX(D$2:D5)-1</f>
        <v/>
      </c>
    </row>
    <row r="6">
      <c r="A6" s="14">
        <f>'Daily_Cash'!A6</f>
        <v/>
      </c>
      <c r="B6" s="10">
        <f>'Daily_Cash'!D6</f>
        <v/>
      </c>
      <c r="C6" s="10">
        <f>D6-B6</f>
        <v/>
      </c>
      <c r="D6" s="10">
        <f>'Daily_Cash'!B6</f>
        <v/>
      </c>
      <c r="E6" s="16">
        <f>D6/D5-1</f>
        <v/>
      </c>
      <c r="F6" s="16">
        <f>D6/D$2-1</f>
        <v/>
      </c>
      <c r="G6" s="16">
        <f>D6/MAX(D$2:D6)-1</f>
        <v/>
      </c>
    </row>
    <row r="7">
      <c r="A7" s="15">
        <f>'Daily_Cash'!A7</f>
        <v/>
      </c>
      <c r="B7" s="13">
        <f>'Daily_Cash'!D7</f>
        <v/>
      </c>
      <c r="C7" s="13">
        <f>D7-B7</f>
        <v/>
      </c>
      <c r="D7" s="13">
        <f>'Daily_Cash'!B7</f>
        <v/>
      </c>
      <c r="E7" s="17">
        <f>D7/D6-1</f>
        <v/>
      </c>
      <c r="F7" s="17">
        <f>D7/D$2-1</f>
        <v/>
      </c>
      <c r="G7" s="17">
        <f>D7/MAX(D$2:D7)-1</f>
        <v/>
      </c>
    </row>
    <row r="8">
      <c r="A8" s="14">
        <f>'Daily_Cash'!A8</f>
        <v/>
      </c>
      <c r="B8" s="10">
        <f>'Daily_Cash'!D8</f>
        <v/>
      </c>
      <c r="C8" s="10">
        <f>D8-B8</f>
        <v/>
      </c>
      <c r="D8" s="10">
        <f>'Daily_Cash'!B8</f>
        <v/>
      </c>
      <c r="E8" s="16">
        <f>D8/D7-1</f>
        <v/>
      </c>
      <c r="F8" s="16">
        <f>D8/D$2-1</f>
        <v/>
      </c>
      <c r="G8" s="16">
        <f>D8/MAX(D$2:D8)-1</f>
        <v/>
      </c>
    </row>
    <row r="9">
      <c r="A9" s="15">
        <f>'Daily_Cash'!A9</f>
        <v/>
      </c>
      <c r="B9" s="13">
        <f>'Daily_Cash'!D9</f>
        <v/>
      </c>
      <c r="C9" s="13">
        <f>D9-B9</f>
        <v/>
      </c>
      <c r="D9" s="13">
        <f>'Daily_Cash'!B9</f>
        <v/>
      </c>
      <c r="E9" s="17">
        <f>D9/D8-1</f>
        <v/>
      </c>
      <c r="F9" s="17">
        <f>D9/D$2-1</f>
        <v/>
      </c>
      <c r="G9" s="17">
        <f>D9/MAX(D$2:D9)-1</f>
        <v/>
      </c>
    </row>
    <row r="10">
      <c r="A10" s="14">
        <f>'Daily_Cash'!A10</f>
        <v/>
      </c>
      <c r="B10" s="10">
        <f>'Daily_Cash'!D10</f>
        <v/>
      </c>
      <c r="C10" s="10">
        <f>D10-B10</f>
        <v/>
      </c>
      <c r="D10" s="10">
        <f>'Daily_Cash'!B10</f>
        <v/>
      </c>
      <c r="E10" s="16">
        <f>D10/D9-1</f>
        <v/>
      </c>
      <c r="F10" s="16">
        <f>D10/D$2-1</f>
        <v/>
      </c>
      <c r="G10" s="16">
        <f>D10/MAX(D$2:D10)-1</f>
        <v/>
      </c>
    </row>
    <row r="11">
      <c r="A11" s="15">
        <f>'Daily_Cash'!A11</f>
        <v/>
      </c>
      <c r="B11" s="13">
        <f>'Daily_Cash'!D11</f>
        <v/>
      </c>
      <c r="C11" s="13">
        <f>D11-B11</f>
        <v/>
      </c>
      <c r="D11" s="13">
        <f>'Daily_Cash'!B11</f>
        <v/>
      </c>
      <c r="E11" s="17">
        <f>D11/D10-1</f>
        <v/>
      </c>
      <c r="F11" s="17">
        <f>D11/D$2-1</f>
        <v/>
      </c>
      <c r="G11" s="17">
        <f>D11/MAX(D$2:D11)-1</f>
        <v/>
      </c>
    </row>
    <row r="12">
      <c r="A12" s="14">
        <f>'Daily_Cash'!A12</f>
        <v/>
      </c>
      <c r="B12" s="10">
        <f>'Daily_Cash'!D12</f>
        <v/>
      </c>
      <c r="C12" s="10">
        <f>D12-B12</f>
        <v/>
      </c>
      <c r="D12" s="10">
        <f>'Daily_Cash'!B12</f>
        <v/>
      </c>
      <c r="E12" s="16">
        <f>D12/D11-1</f>
        <v/>
      </c>
      <c r="F12" s="16">
        <f>D12/D$2-1</f>
        <v/>
      </c>
      <c r="G12" s="16">
        <f>D12/MAX(D$2:D12)-1</f>
        <v/>
      </c>
    </row>
    <row r="13">
      <c r="A13" s="15">
        <f>'Daily_Cash'!A13</f>
        <v/>
      </c>
      <c r="B13" s="13">
        <f>'Daily_Cash'!D13</f>
        <v/>
      </c>
      <c r="C13" s="13">
        <f>D13-B13</f>
        <v/>
      </c>
      <c r="D13" s="13">
        <f>'Daily_Cash'!B13</f>
        <v/>
      </c>
      <c r="E13" s="17">
        <f>D13/D12-1</f>
        <v/>
      </c>
      <c r="F13" s="17">
        <f>D13/D$2-1</f>
        <v/>
      </c>
      <c r="G13" s="17">
        <f>D13/MAX(D$2:D13)-1</f>
        <v/>
      </c>
    </row>
    <row r="14">
      <c r="A14" s="14">
        <f>'Daily_Cash'!A14</f>
        <v/>
      </c>
      <c r="B14" s="10">
        <f>'Daily_Cash'!D14</f>
        <v/>
      </c>
      <c r="C14" s="10">
        <f>D14-B14</f>
        <v/>
      </c>
      <c r="D14" s="10">
        <f>'Daily_Cash'!B14</f>
        <v/>
      </c>
      <c r="E14" s="16">
        <f>D14/D13-1</f>
        <v/>
      </c>
      <c r="F14" s="16">
        <f>D14/D$2-1</f>
        <v/>
      </c>
      <c r="G14" s="16">
        <f>D14/MAX(D$2:D14)-1</f>
        <v/>
      </c>
    </row>
    <row r="15">
      <c r="A15" s="15">
        <f>'Daily_Cash'!A15</f>
        <v/>
      </c>
      <c r="B15" s="13">
        <f>'Daily_Cash'!D15</f>
        <v/>
      </c>
      <c r="C15" s="13">
        <f>D15-B15</f>
        <v/>
      </c>
      <c r="D15" s="13">
        <f>'Daily_Cash'!B15</f>
        <v/>
      </c>
      <c r="E15" s="17">
        <f>D15/D14-1</f>
        <v/>
      </c>
      <c r="F15" s="17">
        <f>D15/D$2-1</f>
        <v/>
      </c>
      <c r="G15" s="17">
        <f>D15/MAX(D$2:D15)-1</f>
        <v/>
      </c>
    </row>
    <row r="16">
      <c r="A16" s="14">
        <f>'Daily_Cash'!A16</f>
        <v/>
      </c>
      <c r="B16" s="10">
        <f>'Daily_Cash'!D16</f>
        <v/>
      </c>
      <c r="C16" s="10">
        <f>D16-B16</f>
        <v/>
      </c>
      <c r="D16" s="10">
        <f>'Daily_Cash'!B16</f>
        <v/>
      </c>
      <c r="E16" s="16">
        <f>D16/D15-1</f>
        <v/>
      </c>
      <c r="F16" s="16">
        <f>D16/D$2-1</f>
        <v/>
      </c>
      <c r="G16" s="16">
        <f>D16/MAX(D$2:D16)-1</f>
        <v/>
      </c>
    </row>
    <row r="17">
      <c r="A17" s="15">
        <f>'Daily_Cash'!A17</f>
        <v/>
      </c>
      <c r="B17" s="13">
        <f>'Daily_Cash'!D17</f>
        <v/>
      </c>
      <c r="C17" s="13">
        <f>D17-B17</f>
        <v/>
      </c>
      <c r="D17" s="13">
        <f>'Daily_Cash'!B17</f>
        <v/>
      </c>
      <c r="E17" s="17">
        <f>D17/D16-1</f>
        <v/>
      </c>
      <c r="F17" s="17">
        <f>D17/D$2-1</f>
        <v/>
      </c>
      <c r="G17" s="17">
        <f>D17/MAX(D$2:D17)-1</f>
        <v/>
      </c>
    </row>
    <row r="18">
      <c r="A18" s="14">
        <f>'Daily_Cash'!A18</f>
        <v/>
      </c>
      <c r="B18" s="10">
        <f>'Daily_Cash'!D18</f>
        <v/>
      </c>
      <c r="C18" s="10">
        <f>D18-B18</f>
        <v/>
      </c>
      <c r="D18" s="10">
        <f>'Daily_Cash'!B18</f>
        <v/>
      </c>
      <c r="E18" s="16">
        <f>D18/D17-1</f>
        <v/>
      </c>
      <c r="F18" s="16">
        <f>D18/D$2-1</f>
        <v/>
      </c>
      <c r="G18" s="16">
        <f>D18/MAX(D$2:D18)-1</f>
        <v/>
      </c>
    </row>
    <row r="19">
      <c r="A19" s="15">
        <f>'Daily_Cash'!A19</f>
        <v/>
      </c>
      <c r="B19" s="13">
        <f>'Daily_Cash'!D19</f>
        <v/>
      </c>
      <c r="C19" s="13">
        <f>D19-B19</f>
        <v/>
      </c>
      <c r="D19" s="13">
        <f>'Daily_Cash'!B19</f>
        <v/>
      </c>
      <c r="E19" s="17">
        <f>D19/D18-1</f>
        <v/>
      </c>
      <c r="F19" s="17">
        <f>D19/D$2-1</f>
        <v/>
      </c>
      <c r="G19" s="17">
        <f>D19/MAX(D$2:D19)-1</f>
        <v/>
      </c>
    </row>
    <row r="20">
      <c r="A20" s="14">
        <f>'Daily_Cash'!A20</f>
        <v/>
      </c>
      <c r="B20" s="10">
        <f>'Daily_Cash'!D20</f>
        <v/>
      </c>
      <c r="C20" s="10">
        <f>D20-B20</f>
        <v/>
      </c>
      <c r="D20" s="10">
        <f>'Daily_Cash'!B20</f>
        <v/>
      </c>
      <c r="E20" s="16">
        <f>D20/D19-1</f>
        <v/>
      </c>
      <c r="F20" s="16">
        <f>D20/D$2-1</f>
        <v/>
      </c>
      <c r="G20" s="16">
        <f>D20/MAX(D$2:D20)-1</f>
        <v/>
      </c>
    </row>
    <row r="21">
      <c r="A21" s="15">
        <f>'Daily_Cash'!A21</f>
        <v/>
      </c>
      <c r="B21" s="13">
        <f>'Daily_Cash'!D21</f>
        <v/>
      </c>
      <c r="C21" s="13">
        <f>D21-B21</f>
        <v/>
      </c>
      <c r="D21" s="13">
        <f>'Daily_Cash'!B21</f>
        <v/>
      </c>
      <c r="E21" s="17">
        <f>D21/D20-1</f>
        <v/>
      </c>
      <c r="F21" s="17">
        <f>D21/D$2-1</f>
        <v/>
      </c>
      <c r="G21" s="17">
        <f>D21/MAX(D$2:D21)-1</f>
        <v/>
      </c>
    </row>
    <row r="22">
      <c r="A22" s="14">
        <f>'Daily_Cash'!A22</f>
        <v/>
      </c>
      <c r="B22" s="10">
        <f>'Daily_Cash'!D22</f>
        <v/>
      </c>
      <c r="C22" s="10">
        <f>D22-B22</f>
        <v/>
      </c>
      <c r="D22" s="10">
        <f>'Daily_Cash'!B22</f>
        <v/>
      </c>
      <c r="E22" s="16">
        <f>D22/D21-1</f>
        <v/>
      </c>
      <c r="F22" s="16">
        <f>D22/D$2-1</f>
        <v/>
      </c>
      <c r="G22" s="16">
        <f>D22/MAX(D$2:D22)-1</f>
        <v/>
      </c>
    </row>
    <row r="23">
      <c r="A23" s="15">
        <f>'Daily_Cash'!A23</f>
        <v/>
      </c>
      <c r="B23" s="13">
        <f>'Daily_Cash'!D23</f>
        <v/>
      </c>
      <c r="C23" s="13">
        <f>D23-B23</f>
        <v/>
      </c>
      <c r="D23" s="13">
        <f>'Daily_Cash'!B23</f>
        <v/>
      </c>
      <c r="E23" s="17">
        <f>D23/D22-1</f>
        <v/>
      </c>
      <c r="F23" s="17">
        <f>D23/D$2-1</f>
        <v/>
      </c>
      <c r="G23" s="17">
        <f>D23/MAX(D$2:D23)-1</f>
        <v/>
      </c>
    </row>
    <row r="24">
      <c r="A24" s="14">
        <f>'Daily_Cash'!A24</f>
        <v/>
      </c>
      <c r="B24" s="10">
        <f>'Daily_Cash'!D24</f>
        <v/>
      </c>
      <c r="C24" s="10">
        <f>D24-B24</f>
        <v/>
      </c>
      <c r="D24" s="10">
        <f>'Daily_Cash'!B24</f>
        <v/>
      </c>
      <c r="E24" s="16">
        <f>D24/D23-1</f>
        <v/>
      </c>
      <c r="F24" s="16">
        <f>D24/D$2-1</f>
        <v/>
      </c>
      <c r="G24" s="16">
        <f>D24/MAX(D$2:D24)-1</f>
        <v/>
      </c>
    </row>
    <row r="25">
      <c r="A25" s="15">
        <f>'Daily_Cash'!A25</f>
        <v/>
      </c>
      <c r="B25" s="13">
        <f>'Daily_Cash'!D25</f>
        <v/>
      </c>
      <c r="C25" s="13">
        <f>D25-B25</f>
        <v/>
      </c>
      <c r="D25" s="13">
        <f>'Daily_Cash'!B25</f>
        <v/>
      </c>
      <c r="E25" s="17">
        <f>D25/D24-1</f>
        <v/>
      </c>
      <c r="F25" s="17">
        <f>D25/D$2-1</f>
        <v/>
      </c>
      <c r="G25" s="17">
        <f>D25/MAX(D$2:D25)-1</f>
        <v/>
      </c>
    </row>
    <row r="26">
      <c r="A26" s="14">
        <f>'Daily_Cash'!A26</f>
        <v/>
      </c>
      <c r="B26" s="10">
        <f>'Daily_Cash'!D26</f>
        <v/>
      </c>
      <c r="C26" s="10">
        <f>D26-B26</f>
        <v/>
      </c>
      <c r="D26" s="10">
        <f>'Daily_Cash'!B26</f>
        <v/>
      </c>
      <c r="E26" s="16">
        <f>D26/D25-1</f>
        <v/>
      </c>
      <c r="F26" s="16">
        <f>D26/D$2-1</f>
        <v/>
      </c>
      <c r="G26" s="16">
        <f>D26/MAX(D$2:D26)-1</f>
        <v/>
      </c>
    </row>
    <row r="27">
      <c r="A27" s="15">
        <f>'Daily_Cash'!A27</f>
        <v/>
      </c>
      <c r="B27" s="13">
        <f>'Daily_Cash'!D27</f>
        <v/>
      </c>
      <c r="C27" s="13">
        <f>D27-B27</f>
        <v/>
      </c>
      <c r="D27" s="13">
        <f>'Daily_Cash'!B27</f>
        <v/>
      </c>
      <c r="E27" s="17">
        <f>D27/D26-1</f>
        <v/>
      </c>
      <c r="F27" s="17">
        <f>D27/D$2-1</f>
        <v/>
      </c>
      <c r="G27" s="17">
        <f>D27/MAX(D$2:D27)-1</f>
        <v/>
      </c>
    </row>
    <row r="28">
      <c r="A28" s="14">
        <f>'Daily_Cash'!A28</f>
        <v/>
      </c>
      <c r="B28" s="10">
        <f>'Daily_Cash'!D28</f>
        <v/>
      </c>
      <c r="C28" s="10">
        <f>D28-B28</f>
        <v/>
      </c>
      <c r="D28" s="10">
        <f>'Daily_Cash'!B28</f>
        <v/>
      </c>
      <c r="E28" s="16">
        <f>D28/D27-1</f>
        <v/>
      </c>
      <c r="F28" s="16">
        <f>D28/D$2-1</f>
        <v/>
      </c>
      <c r="G28" s="16">
        <f>D28/MAX(D$2:D28)-1</f>
        <v/>
      </c>
    </row>
    <row r="29">
      <c r="A29" s="15">
        <f>'Daily_Cash'!A29</f>
        <v/>
      </c>
      <c r="B29" s="13">
        <f>'Daily_Cash'!D29</f>
        <v/>
      </c>
      <c r="C29" s="13">
        <f>D29-B29</f>
        <v/>
      </c>
      <c r="D29" s="13">
        <f>'Daily_Cash'!B29</f>
        <v/>
      </c>
      <c r="E29" s="17">
        <f>D29/D28-1</f>
        <v/>
      </c>
      <c r="F29" s="17">
        <f>D29/D$2-1</f>
        <v/>
      </c>
      <c r="G29" s="17">
        <f>D29/MAX(D$2:D29)-1</f>
        <v/>
      </c>
    </row>
    <row r="30">
      <c r="A30" s="14">
        <f>'Daily_Cash'!A30</f>
        <v/>
      </c>
      <c r="B30" s="10">
        <f>'Daily_Cash'!D30</f>
        <v/>
      </c>
      <c r="C30" s="10">
        <f>D30-B30</f>
        <v/>
      </c>
      <c r="D30" s="10">
        <f>'Daily_Cash'!B30</f>
        <v/>
      </c>
      <c r="E30" s="16">
        <f>D30/D29-1</f>
        <v/>
      </c>
      <c r="F30" s="16">
        <f>D30/D$2-1</f>
        <v/>
      </c>
      <c r="G30" s="16">
        <f>D30/MAX(D$2:D30)-1</f>
        <v/>
      </c>
    </row>
    <row r="31">
      <c r="A31" s="15">
        <f>'Daily_Cash'!A31</f>
        <v/>
      </c>
      <c r="B31" s="13">
        <f>'Daily_Cash'!D31</f>
        <v/>
      </c>
      <c r="C31" s="13">
        <f>D31-B31</f>
        <v/>
      </c>
      <c r="D31" s="13">
        <f>'Daily_Cash'!B31</f>
        <v/>
      </c>
      <c r="E31" s="17">
        <f>D31/D30-1</f>
        <v/>
      </c>
      <c r="F31" s="17">
        <f>D31/D$2-1</f>
        <v/>
      </c>
      <c r="G31" s="17">
        <f>D31/MAX(D$2:D31)-1</f>
        <v/>
      </c>
    </row>
    <row r="32">
      <c r="A32" s="14">
        <f>'Daily_Cash'!A32</f>
        <v/>
      </c>
      <c r="B32" s="10">
        <f>'Daily_Cash'!D32</f>
        <v/>
      </c>
      <c r="C32" s="10">
        <f>D32-B32</f>
        <v/>
      </c>
      <c r="D32" s="10">
        <f>'Daily_Cash'!B32</f>
        <v/>
      </c>
      <c r="E32" s="16">
        <f>D32/D31-1</f>
        <v/>
      </c>
      <c r="F32" s="16">
        <f>D32/D$2-1</f>
        <v/>
      </c>
      <c r="G32" s="16">
        <f>D32/MAX(D$2:D32)-1</f>
        <v/>
      </c>
    </row>
    <row r="33">
      <c r="A33" s="15">
        <f>'Daily_Cash'!A33</f>
        <v/>
      </c>
      <c r="B33" s="13">
        <f>'Daily_Cash'!D33</f>
        <v/>
      </c>
      <c r="C33" s="13">
        <f>D33-B33</f>
        <v/>
      </c>
      <c r="D33" s="13">
        <f>'Daily_Cash'!B33</f>
        <v/>
      </c>
      <c r="E33" s="17">
        <f>D33/D32-1</f>
        <v/>
      </c>
      <c r="F33" s="17">
        <f>D33/D$2-1</f>
        <v/>
      </c>
      <c r="G33" s="17">
        <f>D33/MAX(D$2:D33)-1</f>
        <v/>
      </c>
    </row>
    <row r="34">
      <c r="A34" s="14">
        <f>'Daily_Cash'!A34</f>
        <v/>
      </c>
      <c r="B34" s="10">
        <f>'Daily_Cash'!D34</f>
        <v/>
      </c>
      <c r="C34" s="10">
        <f>D34-B34</f>
        <v/>
      </c>
      <c r="D34" s="10">
        <f>'Daily_Cash'!B34</f>
        <v/>
      </c>
      <c r="E34" s="16">
        <f>D34/D33-1</f>
        <v/>
      </c>
      <c r="F34" s="16">
        <f>D34/D$2-1</f>
        <v/>
      </c>
      <c r="G34" s="16">
        <f>D34/MAX(D$2:D34)-1</f>
        <v/>
      </c>
    </row>
    <row r="35">
      <c r="A35" s="15">
        <f>'Daily_Cash'!A35</f>
        <v/>
      </c>
      <c r="B35" s="13">
        <f>'Daily_Cash'!D35</f>
        <v/>
      </c>
      <c r="C35" s="13">
        <f>D35-B35</f>
        <v/>
      </c>
      <c r="D35" s="13">
        <f>'Daily_Cash'!B35</f>
        <v/>
      </c>
      <c r="E35" s="17">
        <f>D35/D34-1</f>
        <v/>
      </c>
      <c r="F35" s="17">
        <f>D35/D$2-1</f>
        <v/>
      </c>
      <c r="G35" s="17">
        <f>D35/MAX(D$2:D35)-1</f>
        <v/>
      </c>
    </row>
    <row r="36">
      <c r="A36" s="14">
        <f>'Daily_Cash'!A36</f>
        <v/>
      </c>
      <c r="B36" s="10">
        <f>'Daily_Cash'!D36</f>
        <v/>
      </c>
      <c r="C36" s="10">
        <f>D36-B36</f>
        <v/>
      </c>
      <c r="D36" s="10">
        <f>'Daily_Cash'!B36</f>
        <v/>
      </c>
      <c r="E36" s="16">
        <f>D36/D35-1</f>
        <v/>
      </c>
      <c r="F36" s="16">
        <f>D36/D$2-1</f>
        <v/>
      </c>
      <c r="G36" s="16">
        <f>D36/MAX(D$2:D36)-1</f>
        <v/>
      </c>
    </row>
    <row r="37">
      <c r="A37" s="15">
        <f>'Daily_Cash'!A37</f>
        <v/>
      </c>
      <c r="B37" s="13">
        <f>'Daily_Cash'!D37</f>
        <v/>
      </c>
      <c r="C37" s="13">
        <f>D37-B37</f>
        <v/>
      </c>
      <c r="D37" s="13">
        <f>'Daily_Cash'!B37</f>
        <v/>
      </c>
      <c r="E37" s="17">
        <f>D37/D36-1</f>
        <v/>
      </c>
      <c r="F37" s="17">
        <f>D37/D$2-1</f>
        <v/>
      </c>
      <c r="G37" s="17">
        <f>D37/MAX(D$2:D37)-1</f>
        <v/>
      </c>
    </row>
    <row r="38">
      <c r="A38" s="14">
        <f>'Daily_Cash'!A38</f>
        <v/>
      </c>
      <c r="B38" s="10">
        <f>'Daily_Cash'!D38</f>
        <v/>
      </c>
      <c r="C38" s="10">
        <f>D38-B38</f>
        <v/>
      </c>
      <c r="D38" s="10">
        <f>'Daily_Cash'!B38</f>
        <v/>
      </c>
      <c r="E38" s="16">
        <f>D38/D37-1</f>
        <v/>
      </c>
      <c r="F38" s="16">
        <f>D38/D$2-1</f>
        <v/>
      </c>
      <c r="G38" s="16">
        <f>D38/MAX(D$2:D38)-1</f>
        <v/>
      </c>
    </row>
    <row r="39">
      <c r="A39" s="15">
        <f>'Daily_Cash'!A39</f>
        <v/>
      </c>
      <c r="B39" s="13">
        <f>'Daily_Cash'!D39</f>
        <v/>
      </c>
      <c r="C39" s="13">
        <f>D39-B39</f>
        <v/>
      </c>
      <c r="D39" s="13">
        <f>'Daily_Cash'!B39</f>
        <v/>
      </c>
      <c r="E39" s="17">
        <f>D39/D38-1</f>
        <v/>
      </c>
      <c r="F39" s="17">
        <f>D39/D$2-1</f>
        <v/>
      </c>
      <c r="G39" s="17">
        <f>D39/MAX(D$2:D39)-1</f>
        <v/>
      </c>
    </row>
    <row r="40">
      <c r="A40" s="14">
        <f>'Daily_Cash'!A40</f>
        <v/>
      </c>
      <c r="B40" s="10">
        <f>'Daily_Cash'!D40</f>
        <v/>
      </c>
      <c r="C40" s="10">
        <f>D40-B40</f>
        <v/>
      </c>
      <c r="D40" s="10">
        <f>'Daily_Cash'!B40</f>
        <v/>
      </c>
      <c r="E40" s="16">
        <f>D40/D39-1</f>
        <v/>
      </c>
      <c r="F40" s="16">
        <f>D40/D$2-1</f>
        <v/>
      </c>
      <c r="G40" s="16">
        <f>D40/MAX(D$2:D40)-1</f>
        <v/>
      </c>
    </row>
    <row r="41">
      <c r="A41" s="15">
        <f>'Daily_Cash'!A41</f>
        <v/>
      </c>
      <c r="B41" s="13">
        <f>'Daily_Cash'!D41</f>
        <v/>
      </c>
      <c r="C41" s="13">
        <f>D41-B41</f>
        <v/>
      </c>
      <c r="D41" s="13">
        <f>'Daily_Cash'!B41</f>
        <v/>
      </c>
      <c r="E41" s="17">
        <f>D41/D40-1</f>
        <v/>
      </c>
      <c r="F41" s="17">
        <f>D41/D$2-1</f>
        <v/>
      </c>
      <c r="G41" s="17">
        <f>D41/MAX(D$2:D41)-1</f>
        <v/>
      </c>
    </row>
    <row r="42">
      <c r="A42" s="14">
        <f>'Daily_Cash'!A42</f>
        <v/>
      </c>
      <c r="B42" s="10">
        <f>'Daily_Cash'!D42</f>
        <v/>
      </c>
      <c r="C42" s="10">
        <f>D42-B42</f>
        <v/>
      </c>
      <c r="D42" s="10">
        <f>'Daily_Cash'!B42</f>
        <v/>
      </c>
      <c r="E42" s="16">
        <f>D42/D41-1</f>
        <v/>
      </c>
      <c r="F42" s="16">
        <f>D42/D$2-1</f>
        <v/>
      </c>
      <c r="G42" s="16">
        <f>D42/MAX(D$2:D42)-1</f>
        <v/>
      </c>
    </row>
    <row r="43">
      <c r="A43" s="15">
        <f>'Daily_Cash'!A43</f>
        <v/>
      </c>
      <c r="B43" s="13">
        <f>'Daily_Cash'!D43</f>
        <v/>
      </c>
      <c r="C43" s="13">
        <f>D43-B43</f>
        <v/>
      </c>
      <c r="D43" s="13">
        <f>'Daily_Cash'!B43</f>
        <v/>
      </c>
      <c r="E43" s="17">
        <f>D43/D42-1</f>
        <v/>
      </c>
      <c r="F43" s="17">
        <f>D43/D$2-1</f>
        <v/>
      </c>
      <c r="G43" s="17">
        <f>D43/MAX(D$2:D43)-1</f>
        <v/>
      </c>
    </row>
    <row r="44">
      <c r="A44" s="14">
        <f>'Daily_Cash'!A44</f>
        <v/>
      </c>
      <c r="B44" s="10">
        <f>'Daily_Cash'!D44</f>
        <v/>
      </c>
      <c r="C44" s="10">
        <f>D44-B44</f>
        <v/>
      </c>
      <c r="D44" s="10">
        <f>'Daily_Cash'!B44</f>
        <v/>
      </c>
      <c r="E44" s="16">
        <f>D44/D43-1</f>
        <v/>
      </c>
      <c r="F44" s="16">
        <f>D44/D$2-1</f>
        <v/>
      </c>
      <c r="G44" s="16">
        <f>D44/MAX(D$2:D44)-1</f>
        <v/>
      </c>
    </row>
    <row r="45">
      <c r="A45" s="15">
        <f>'Daily_Cash'!A45</f>
        <v/>
      </c>
      <c r="B45" s="13">
        <f>'Daily_Cash'!D45</f>
        <v/>
      </c>
      <c r="C45" s="13">
        <f>D45-B45</f>
        <v/>
      </c>
      <c r="D45" s="13">
        <f>'Daily_Cash'!B45</f>
        <v/>
      </c>
      <c r="E45" s="17">
        <f>D45/D44-1</f>
        <v/>
      </c>
      <c r="F45" s="17">
        <f>D45/D$2-1</f>
        <v/>
      </c>
      <c r="G45" s="17">
        <f>D45/MAX(D$2:D45)-1</f>
        <v/>
      </c>
    </row>
    <row r="46">
      <c r="A46" s="14">
        <f>'Daily_Cash'!A46</f>
        <v/>
      </c>
      <c r="B46" s="10">
        <f>'Daily_Cash'!D46</f>
        <v/>
      </c>
      <c r="C46" s="10">
        <f>D46-B46</f>
        <v/>
      </c>
      <c r="D46" s="10">
        <f>'Daily_Cash'!B46</f>
        <v/>
      </c>
      <c r="E46" s="16">
        <f>D46/D45-1</f>
        <v/>
      </c>
      <c r="F46" s="16">
        <f>D46/D$2-1</f>
        <v/>
      </c>
      <c r="G46" s="16">
        <f>D46/MAX(D$2:D46)-1</f>
        <v/>
      </c>
    </row>
    <row r="47">
      <c r="A47" s="15">
        <f>'Daily_Cash'!A47</f>
        <v/>
      </c>
      <c r="B47" s="13">
        <f>'Daily_Cash'!D47</f>
        <v/>
      </c>
      <c r="C47" s="13">
        <f>D47-B47</f>
        <v/>
      </c>
      <c r="D47" s="13">
        <f>'Daily_Cash'!B47</f>
        <v/>
      </c>
      <c r="E47" s="17">
        <f>D47/D46-1</f>
        <v/>
      </c>
      <c r="F47" s="17">
        <f>D47/D$2-1</f>
        <v/>
      </c>
      <c r="G47" s="17">
        <f>D47/MAX(D$2:D47)-1</f>
        <v/>
      </c>
    </row>
    <row r="48">
      <c r="A48" s="14">
        <f>'Daily_Cash'!A48</f>
        <v/>
      </c>
      <c r="B48" s="10">
        <f>'Daily_Cash'!D48</f>
        <v/>
      </c>
      <c r="C48" s="10">
        <f>D48-B48</f>
        <v/>
      </c>
      <c r="D48" s="10">
        <f>'Daily_Cash'!B48</f>
        <v/>
      </c>
      <c r="E48" s="16">
        <f>D48/D47-1</f>
        <v/>
      </c>
      <c r="F48" s="16">
        <f>D48/D$2-1</f>
        <v/>
      </c>
      <c r="G48" s="16">
        <f>D48/MAX(D$2:D48)-1</f>
        <v/>
      </c>
    </row>
    <row r="49">
      <c r="A49" s="15">
        <f>'Daily_Cash'!A49</f>
        <v/>
      </c>
      <c r="B49" s="13">
        <f>'Daily_Cash'!D49</f>
        <v/>
      </c>
      <c r="C49" s="13">
        <f>D49-B49</f>
        <v/>
      </c>
      <c r="D49" s="13">
        <f>'Daily_Cash'!B49</f>
        <v/>
      </c>
      <c r="E49" s="17">
        <f>D49/D48-1</f>
        <v/>
      </c>
      <c r="F49" s="17">
        <f>D49/D$2-1</f>
        <v/>
      </c>
      <c r="G49" s="17">
        <f>D49/MAX(D$2:D49)-1</f>
        <v/>
      </c>
    </row>
    <row r="50">
      <c r="A50" s="14">
        <f>'Daily_Cash'!A50</f>
        <v/>
      </c>
      <c r="B50" s="10">
        <f>'Daily_Cash'!D50</f>
        <v/>
      </c>
      <c r="C50" s="10">
        <f>D50-B50</f>
        <v/>
      </c>
      <c r="D50" s="10">
        <f>'Daily_Cash'!B50</f>
        <v/>
      </c>
      <c r="E50" s="16">
        <f>D50/D49-1</f>
        <v/>
      </c>
      <c r="F50" s="16">
        <f>D50/D$2-1</f>
        <v/>
      </c>
      <c r="G50" s="16">
        <f>D50/MAX(D$2:D50)-1</f>
        <v/>
      </c>
    </row>
    <row r="51">
      <c r="A51" s="15">
        <f>'Daily_Cash'!A51</f>
        <v/>
      </c>
      <c r="B51" s="13">
        <f>'Daily_Cash'!D51</f>
        <v/>
      </c>
      <c r="C51" s="13">
        <f>D51-B51</f>
        <v/>
      </c>
      <c r="D51" s="13">
        <f>'Daily_Cash'!B51</f>
        <v/>
      </c>
      <c r="E51" s="17">
        <f>D51/D50-1</f>
        <v/>
      </c>
      <c r="F51" s="17">
        <f>D51/D$2-1</f>
        <v/>
      </c>
      <c r="G51" s="17">
        <f>D51/MAX(D$2:D51)-1</f>
        <v/>
      </c>
    </row>
    <row r="52">
      <c r="A52" s="14">
        <f>'Daily_Cash'!A52</f>
        <v/>
      </c>
      <c r="B52" s="10">
        <f>'Daily_Cash'!D52</f>
        <v/>
      </c>
      <c r="C52" s="10">
        <f>D52-B52</f>
        <v/>
      </c>
      <c r="D52" s="10">
        <f>'Daily_Cash'!B52</f>
        <v/>
      </c>
      <c r="E52" s="16">
        <f>D52/D51-1</f>
        <v/>
      </c>
      <c r="F52" s="16">
        <f>D52/D$2-1</f>
        <v/>
      </c>
      <c r="G52" s="16">
        <f>D52/MAX(D$2:D52)-1</f>
        <v/>
      </c>
    </row>
    <row r="53">
      <c r="A53" s="15">
        <f>'Daily_Cash'!A53</f>
        <v/>
      </c>
      <c r="B53" s="13">
        <f>'Daily_Cash'!D53</f>
        <v/>
      </c>
      <c r="C53" s="13">
        <f>D53-B53</f>
        <v/>
      </c>
      <c r="D53" s="13">
        <f>'Daily_Cash'!B53</f>
        <v/>
      </c>
      <c r="E53" s="17">
        <f>D53/D52-1</f>
        <v/>
      </c>
      <c r="F53" s="17">
        <f>D53/D$2-1</f>
        <v/>
      </c>
      <c r="G53" s="17">
        <f>D53/MAX(D$2:D53)-1</f>
        <v/>
      </c>
    </row>
    <row r="54">
      <c r="A54" s="14">
        <f>'Daily_Cash'!A54</f>
        <v/>
      </c>
      <c r="B54" s="10">
        <f>'Daily_Cash'!D54</f>
        <v/>
      </c>
      <c r="C54" s="10">
        <f>D54-B54</f>
        <v/>
      </c>
      <c r="D54" s="10">
        <f>'Daily_Cash'!B54</f>
        <v/>
      </c>
      <c r="E54" s="16">
        <f>D54/D53-1</f>
        <v/>
      </c>
      <c r="F54" s="16">
        <f>D54/D$2-1</f>
        <v/>
      </c>
      <c r="G54" s="16">
        <f>D54/MAX(D$2:D54)-1</f>
        <v/>
      </c>
    </row>
    <row r="55">
      <c r="A55" s="15">
        <f>'Daily_Cash'!A55</f>
        <v/>
      </c>
      <c r="B55" s="13">
        <f>'Daily_Cash'!D55</f>
        <v/>
      </c>
      <c r="C55" s="13">
        <f>D55-B55</f>
        <v/>
      </c>
      <c r="D55" s="13">
        <f>'Daily_Cash'!B55</f>
        <v/>
      </c>
      <c r="E55" s="17">
        <f>D55/D54-1</f>
        <v/>
      </c>
      <c r="F55" s="17">
        <f>D55/D$2-1</f>
        <v/>
      </c>
      <c r="G55" s="17">
        <f>D55/MAX(D$2:D55)-1</f>
        <v/>
      </c>
    </row>
    <row r="56">
      <c r="A56" s="14">
        <f>'Daily_Cash'!A56</f>
        <v/>
      </c>
      <c r="B56" s="10">
        <f>'Daily_Cash'!D56</f>
        <v/>
      </c>
      <c r="C56" s="10">
        <f>D56-B56</f>
        <v/>
      </c>
      <c r="D56" s="10">
        <f>'Daily_Cash'!B56</f>
        <v/>
      </c>
      <c r="E56" s="16">
        <f>D56/D55-1</f>
        <v/>
      </c>
      <c r="F56" s="16">
        <f>D56/D$2-1</f>
        <v/>
      </c>
      <c r="G56" s="16">
        <f>D56/MAX(D$2:D56)-1</f>
        <v/>
      </c>
    </row>
    <row r="57">
      <c r="A57" s="15">
        <f>'Daily_Cash'!A57</f>
        <v/>
      </c>
      <c r="B57" s="13">
        <f>'Daily_Cash'!D57</f>
        <v/>
      </c>
      <c r="C57" s="13">
        <f>D57-B57</f>
        <v/>
      </c>
      <c r="D57" s="13">
        <f>'Daily_Cash'!B57</f>
        <v/>
      </c>
      <c r="E57" s="17">
        <f>D57/D56-1</f>
        <v/>
      </c>
      <c r="F57" s="17">
        <f>D57/D$2-1</f>
        <v/>
      </c>
      <c r="G57" s="17">
        <f>D57/MAX(D$2:D57)-1</f>
        <v/>
      </c>
    </row>
    <row r="58">
      <c r="A58" s="14">
        <f>'Daily_Cash'!A58</f>
        <v/>
      </c>
      <c r="B58" s="10">
        <f>'Daily_Cash'!D58</f>
        <v/>
      </c>
      <c r="C58" s="10">
        <f>D58-B58</f>
        <v/>
      </c>
      <c r="D58" s="10">
        <f>'Daily_Cash'!B58</f>
        <v/>
      </c>
      <c r="E58" s="16">
        <f>D58/D57-1</f>
        <v/>
      </c>
      <c r="F58" s="16">
        <f>D58/D$2-1</f>
        <v/>
      </c>
      <c r="G58" s="16">
        <f>D58/MAX(D$2:D58)-1</f>
        <v/>
      </c>
    </row>
    <row r="59">
      <c r="A59" s="15">
        <f>'Daily_Cash'!A59</f>
        <v/>
      </c>
      <c r="B59" s="13">
        <f>'Daily_Cash'!D59</f>
        <v/>
      </c>
      <c r="C59" s="13">
        <f>D59-B59</f>
        <v/>
      </c>
      <c r="D59" s="13">
        <f>'Daily_Cash'!B59</f>
        <v/>
      </c>
      <c r="E59" s="17">
        <f>D59/D58-1</f>
        <v/>
      </c>
      <c r="F59" s="17">
        <f>D59/D$2-1</f>
        <v/>
      </c>
      <c r="G59" s="17">
        <f>D59/MAX(D$2:D59)-1</f>
        <v/>
      </c>
    </row>
    <row r="60">
      <c r="A60" s="14">
        <f>'Daily_Cash'!A60</f>
        <v/>
      </c>
      <c r="B60" s="10">
        <f>'Daily_Cash'!D60</f>
        <v/>
      </c>
      <c r="C60" s="10">
        <f>D60-B60</f>
        <v/>
      </c>
      <c r="D60" s="10">
        <f>'Daily_Cash'!B60</f>
        <v/>
      </c>
      <c r="E60" s="16">
        <f>D60/D59-1</f>
        <v/>
      </c>
      <c r="F60" s="16">
        <f>D60/D$2-1</f>
        <v/>
      </c>
      <c r="G60" s="16">
        <f>D60/MAX(D$2:D60)-1</f>
        <v/>
      </c>
    </row>
    <row r="61">
      <c r="A61" s="15">
        <f>'Daily_Cash'!A61</f>
        <v/>
      </c>
      <c r="B61" s="13">
        <f>'Daily_Cash'!D61</f>
        <v/>
      </c>
      <c r="C61" s="13">
        <f>D61-B61</f>
        <v/>
      </c>
      <c r="D61" s="13">
        <f>'Daily_Cash'!B61</f>
        <v/>
      </c>
      <c r="E61" s="17">
        <f>D61/D60-1</f>
        <v/>
      </c>
      <c r="F61" s="17">
        <f>D61/D$2-1</f>
        <v/>
      </c>
      <c r="G61" s="17">
        <f>D61/MAX(D$2:D61)-1</f>
        <v/>
      </c>
    </row>
    <row r="62">
      <c r="A62" s="14">
        <f>'Daily_Cash'!A62</f>
        <v/>
      </c>
      <c r="B62" s="10">
        <f>'Daily_Cash'!D62</f>
        <v/>
      </c>
      <c r="C62" s="10">
        <f>D62-B62</f>
        <v/>
      </c>
      <c r="D62" s="10">
        <f>'Daily_Cash'!B62</f>
        <v/>
      </c>
      <c r="E62" s="16">
        <f>D62/D61-1</f>
        <v/>
      </c>
      <c r="F62" s="16">
        <f>D62/D$2-1</f>
        <v/>
      </c>
      <c r="G62" s="16">
        <f>D62/MAX(D$2:D62)-1</f>
        <v/>
      </c>
    </row>
    <row r="63">
      <c r="A63" s="15">
        <f>'Daily_Cash'!A63</f>
        <v/>
      </c>
      <c r="B63" s="13">
        <f>'Daily_Cash'!D63</f>
        <v/>
      </c>
      <c r="C63" s="13">
        <f>D63-B63</f>
        <v/>
      </c>
      <c r="D63" s="13">
        <f>'Daily_Cash'!B63</f>
        <v/>
      </c>
      <c r="E63" s="17">
        <f>D63/D62-1</f>
        <v/>
      </c>
      <c r="F63" s="17">
        <f>D63/D$2-1</f>
        <v/>
      </c>
      <c r="G63" s="17">
        <f>D63/MAX(D$2:D63)-1</f>
        <v/>
      </c>
    </row>
    <row r="64">
      <c r="A64" s="14">
        <f>'Daily_Cash'!A64</f>
        <v/>
      </c>
      <c r="B64" s="10">
        <f>'Daily_Cash'!D64</f>
        <v/>
      </c>
      <c r="C64" s="10">
        <f>D64-B64</f>
        <v/>
      </c>
      <c r="D64" s="10">
        <f>'Daily_Cash'!B64</f>
        <v/>
      </c>
      <c r="E64" s="16">
        <f>D64/D63-1</f>
        <v/>
      </c>
      <c r="F64" s="16">
        <f>D64/D$2-1</f>
        <v/>
      </c>
      <c r="G64" s="16">
        <f>D64/MAX(D$2:D64)-1</f>
        <v/>
      </c>
    </row>
    <row r="65">
      <c r="A65" s="15">
        <f>'Daily_Cash'!A65</f>
        <v/>
      </c>
      <c r="B65" s="13">
        <f>'Daily_Cash'!D65</f>
        <v/>
      </c>
      <c r="C65" s="13">
        <f>D65-B65</f>
        <v/>
      </c>
      <c r="D65" s="13">
        <f>'Daily_Cash'!B65</f>
        <v/>
      </c>
      <c r="E65" s="17">
        <f>D65/D64-1</f>
        <v/>
      </c>
      <c r="F65" s="17">
        <f>D65/D$2-1</f>
        <v/>
      </c>
      <c r="G65" s="17">
        <f>D65/MAX(D$2:D65)-1</f>
        <v/>
      </c>
    </row>
    <row r="66">
      <c r="A66" s="14">
        <f>'Daily_Cash'!A66</f>
        <v/>
      </c>
      <c r="B66" s="10">
        <f>'Daily_Cash'!D66</f>
        <v/>
      </c>
      <c r="C66" s="10">
        <f>D66-B66</f>
        <v/>
      </c>
      <c r="D66" s="10">
        <f>'Daily_Cash'!B66</f>
        <v/>
      </c>
      <c r="E66" s="16">
        <f>D66/D65-1</f>
        <v/>
      </c>
      <c r="F66" s="16">
        <f>D66/D$2-1</f>
        <v/>
      </c>
      <c r="G66" s="16">
        <f>D66/MAX(D$2:D66)-1</f>
        <v/>
      </c>
    </row>
    <row r="67">
      <c r="A67" s="15">
        <f>'Daily_Cash'!A67</f>
        <v/>
      </c>
      <c r="B67" s="13">
        <f>'Daily_Cash'!D67</f>
        <v/>
      </c>
      <c r="C67" s="13">
        <f>D67-B67</f>
        <v/>
      </c>
      <c r="D67" s="13">
        <f>'Daily_Cash'!B67</f>
        <v/>
      </c>
      <c r="E67" s="17">
        <f>D67/D66-1</f>
        <v/>
      </c>
      <c r="F67" s="17">
        <f>D67/D$2-1</f>
        <v/>
      </c>
      <c r="G67" s="17">
        <f>D67/MAX(D$2:D67)-1</f>
        <v/>
      </c>
    </row>
    <row r="68">
      <c r="A68" s="14">
        <f>'Daily_Cash'!A68</f>
        <v/>
      </c>
      <c r="B68" s="10">
        <f>'Daily_Cash'!D68</f>
        <v/>
      </c>
      <c r="C68" s="10">
        <f>D68-B68</f>
        <v/>
      </c>
      <c r="D68" s="10">
        <f>'Daily_Cash'!B68</f>
        <v/>
      </c>
      <c r="E68" s="16">
        <f>D68/D67-1</f>
        <v/>
      </c>
      <c r="F68" s="16">
        <f>D68/D$2-1</f>
        <v/>
      </c>
      <c r="G68" s="16">
        <f>D68/MAX(D$2:D68)-1</f>
        <v/>
      </c>
    </row>
    <row r="69">
      <c r="A69" s="15">
        <f>'Daily_Cash'!A69</f>
        <v/>
      </c>
      <c r="B69" s="13">
        <f>'Daily_Cash'!D69</f>
        <v/>
      </c>
      <c r="C69" s="13">
        <f>D69-B69</f>
        <v/>
      </c>
      <c r="D69" s="13">
        <f>'Daily_Cash'!B69</f>
        <v/>
      </c>
      <c r="E69" s="17">
        <f>D69/D68-1</f>
        <v/>
      </c>
      <c r="F69" s="17">
        <f>D69/D$2-1</f>
        <v/>
      </c>
      <c r="G69" s="17">
        <f>D69/MAX(D$2:D69)-1</f>
        <v/>
      </c>
    </row>
    <row r="70">
      <c r="A70" s="14">
        <f>'Daily_Cash'!A70</f>
        <v/>
      </c>
      <c r="B70" s="10">
        <f>'Daily_Cash'!D70</f>
        <v/>
      </c>
      <c r="C70" s="10">
        <f>D70-B70</f>
        <v/>
      </c>
      <c r="D70" s="10">
        <f>'Daily_Cash'!B70</f>
        <v/>
      </c>
      <c r="E70" s="16">
        <f>D70/D69-1</f>
        <v/>
      </c>
      <c r="F70" s="16">
        <f>D70/D$2-1</f>
        <v/>
      </c>
      <c r="G70" s="16">
        <f>D70/MAX(D$2:D70)-1</f>
        <v/>
      </c>
    </row>
    <row r="71">
      <c r="A71" s="15">
        <f>'Daily_Cash'!A71</f>
        <v/>
      </c>
      <c r="B71" s="13">
        <f>'Daily_Cash'!D71</f>
        <v/>
      </c>
      <c r="C71" s="13">
        <f>D71-B71</f>
        <v/>
      </c>
      <c r="D71" s="13">
        <f>'Daily_Cash'!B71</f>
        <v/>
      </c>
      <c r="E71" s="17">
        <f>D71/D70-1</f>
        <v/>
      </c>
      <c r="F71" s="17">
        <f>D71/D$2-1</f>
        <v/>
      </c>
      <c r="G71" s="17">
        <f>D71/MAX(D$2:D71)-1</f>
        <v/>
      </c>
    </row>
    <row r="72">
      <c r="A72" s="14">
        <f>'Daily_Cash'!A72</f>
        <v/>
      </c>
      <c r="B72" s="10">
        <f>'Daily_Cash'!D72</f>
        <v/>
      </c>
      <c r="C72" s="10">
        <f>D72-B72</f>
        <v/>
      </c>
      <c r="D72" s="10">
        <f>'Daily_Cash'!B72</f>
        <v/>
      </c>
      <c r="E72" s="16">
        <f>D72/D71-1</f>
        <v/>
      </c>
      <c r="F72" s="16">
        <f>D72/D$2-1</f>
        <v/>
      </c>
      <c r="G72" s="16">
        <f>D72/MAX(D$2:D72)-1</f>
        <v/>
      </c>
    </row>
    <row r="73">
      <c r="A73" s="15">
        <f>'Daily_Cash'!A73</f>
        <v/>
      </c>
      <c r="B73" s="13">
        <f>'Daily_Cash'!D73</f>
        <v/>
      </c>
      <c r="C73" s="13">
        <f>D73-B73</f>
        <v/>
      </c>
      <c r="D73" s="13">
        <f>'Daily_Cash'!B73</f>
        <v/>
      </c>
      <c r="E73" s="17">
        <f>D73/D72-1</f>
        <v/>
      </c>
      <c r="F73" s="17">
        <f>D73/D$2-1</f>
        <v/>
      </c>
      <c r="G73" s="17">
        <f>D73/MAX(D$2:D73)-1</f>
        <v/>
      </c>
    </row>
    <row r="74">
      <c r="A74" s="14">
        <f>'Daily_Cash'!A74</f>
        <v/>
      </c>
      <c r="B74" s="10">
        <f>'Daily_Cash'!D74</f>
        <v/>
      </c>
      <c r="C74" s="10">
        <f>D74-B74</f>
        <v/>
      </c>
      <c r="D74" s="10">
        <f>'Daily_Cash'!B74</f>
        <v/>
      </c>
      <c r="E74" s="16">
        <f>D74/D73-1</f>
        <v/>
      </c>
      <c r="F74" s="16">
        <f>D74/D$2-1</f>
        <v/>
      </c>
      <c r="G74" s="16">
        <f>D74/MAX(D$2:D74)-1</f>
        <v/>
      </c>
    </row>
    <row r="75">
      <c r="A75" s="15">
        <f>'Daily_Cash'!A75</f>
        <v/>
      </c>
      <c r="B75" s="13">
        <f>'Daily_Cash'!D75</f>
        <v/>
      </c>
      <c r="C75" s="13">
        <f>D75-B75</f>
        <v/>
      </c>
      <c r="D75" s="13">
        <f>'Daily_Cash'!B75</f>
        <v/>
      </c>
      <c r="E75" s="17">
        <f>D75/D74-1</f>
        <v/>
      </c>
      <c r="F75" s="17">
        <f>D75/D$2-1</f>
        <v/>
      </c>
      <c r="G75" s="17">
        <f>D75/MAX(D$2:D75)-1</f>
        <v/>
      </c>
    </row>
    <row r="76">
      <c r="A76" s="14">
        <f>'Daily_Cash'!A76</f>
        <v/>
      </c>
      <c r="B76" s="10">
        <f>'Daily_Cash'!D76</f>
        <v/>
      </c>
      <c r="C76" s="10">
        <f>D76-B76</f>
        <v/>
      </c>
      <c r="D76" s="10">
        <f>'Daily_Cash'!B76</f>
        <v/>
      </c>
      <c r="E76" s="16">
        <f>D76/D75-1</f>
        <v/>
      </c>
      <c r="F76" s="16">
        <f>D76/D$2-1</f>
        <v/>
      </c>
      <c r="G76" s="16">
        <f>D76/MAX(D$2:D76)-1</f>
        <v/>
      </c>
    </row>
    <row r="77">
      <c r="A77" s="15">
        <f>'Daily_Cash'!A77</f>
        <v/>
      </c>
      <c r="B77" s="13">
        <f>'Daily_Cash'!D77</f>
        <v/>
      </c>
      <c r="C77" s="13">
        <f>D77-B77</f>
        <v/>
      </c>
      <c r="D77" s="13">
        <f>'Daily_Cash'!B77</f>
        <v/>
      </c>
      <c r="E77" s="17">
        <f>D77/D76-1</f>
        <v/>
      </c>
      <c r="F77" s="17">
        <f>D77/D$2-1</f>
        <v/>
      </c>
      <c r="G77" s="17">
        <f>D77/MAX(D$2:D77)-1</f>
        <v/>
      </c>
    </row>
    <row r="78">
      <c r="A78" s="14">
        <f>'Daily_Cash'!A78</f>
        <v/>
      </c>
      <c r="B78" s="10">
        <f>'Daily_Cash'!D78</f>
        <v/>
      </c>
      <c r="C78" s="10">
        <f>D78-B78</f>
        <v/>
      </c>
      <c r="D78" s="10">
        <f>'Daily_Cash'!B78</f>
        <v/>
      </c>
      <c r="E78" s="16">
        <f>D78/D77-1</f>
        <v/>
      </c>
      <c r="F78" s="16">
        <f>D78/D$2-1</f>
        <v/>
      </c>
      <c r="G78" s="16">
        <f>D78/MAX(D$2:D78)-1</f>
        <v/>
      </c>
    </row>
    <row r="79">
      <c r="A79" s="15">
        <f>'Daily_Cash'!A79</f>
        <v/>
      </c>
      <c r="B79" s="13">
        <f>'Daily_Cash'!D79</f>
        <v/>
      </c>
      <c r="C79" s="13">
        <f>D79-B79</f>
        <v/>
      </c>
      <c r="D79" s="13">
        <f>'Daily_Cash'!B79</f>
        <v/>
      </c>
      <c r="E79" s="17">
        <f>D79/D78-1</f>
        <v/>
      </c>
      <c r="F79" s="17">
        <f>D79/D$2-1</f>
        <v/>
      </c>
      <c r="G79" s="17">
        <f>D79/MAX(D$2:D79)-1</f>
        <v/>
      </c>
    </row>
    <row r="80">
      <c r="A80" s="14">
        <f>'Daily_Cash'!A80</f>
        <v/>
      </c>
      <c r="B80" s="10">
        <f>'Daily_Cash'!D80</f>
        <v/>
      </c>
      <c r="C80" s="10">
        <f>D80-B80</f>
        <v/>
      </c>
      <c r="D80" s="10">
        <f>'Daily_Cash'!B80</f>
        <v/>
      </c>
      <c r="E80" s="16">
        <f>D80/D79-1</f>
        <v/>
      </c>
      <c r="F80" s="16">
        <f>D80/D$2-1</f>
        <v/>
      </c>
      <c r="G80" s="16">
        <f>D80/MAX(D$2:D80)-1</f>
        <v/>
      </c>
    </row>
    <row r="81">
      <c r="A81" s="15">
        <f>'Daily_Cash'!A81</f>
        <v/>
      </c>
      <c r="B81" s="13">
        <f>'Daily_Cash'!D81</f>
        <v/>
      </c>
      <c r="C81" s="13">
        <f>D81-B81</f>
        <v/>
      </c>
      <c r="D81" s="13">
        <f>'Daily_Cash'!B81</f>
        <v/>
      </c>
      <c r="E81" s="17">
        <f>D81/D80-1</f>
        <v/>
      </c>
      <c r="F81" s="17">
        <f>D81/D$2-1</f>
        <v/>
      </c>
      <c r="G81" s="17">
        <f>D81/MAX(D$2:D81)-1</f>
        <v/>
      </c>
    </row>
    <row r="82">
      <c r="A82" s="14">
        <f>'Daily_Cash'!A82</f>
        <v/>
      </c>
      <c r="B82" s="10">
        <f>'Daily_Cash'!D82</f>
        <v/>
      </c>
      <c r="C82" s="10">
        <f>D82-B82</f>
        <v/>
      </c>
      <c r="D82" s="10">
        <f>'Daily_Cash'!B82</f>
        <v/>
      </c>
      <c r="E82" s="16">
        <f>D82/D81-1</f>
        <v/>
      </c>
      <c r="F82" s="16">
        <f>D82/D$2-1</f>
        <v/>
      </c>
      <c r="G82" s="16">
        <f>D82/MAX(D$2:D82)-1</f>
        <v/>
      </c>
    </row>
    <row r="83">
      <c r="A83" s="15">
        <f>'Daily_Cash'!A83</f>
        <v/>
      </c>
      <c r="B83" s="13">
        <f>'Daily_Cash'!D83</f>
        <v/>
      </c>
      <c r="C83" s="13">
        <f>D83-B83</f>
        <v/>
      </c>
      <c r="D83" s="13">
        <f>'Daily_Cash'!B83</f>
        <v/>
      </c>
      <c r="E83" s="17">
        <f>D83/D82-1</f>
        <v/>
      </c>
      <c r="F83" s="17">
        <f>D83/D$2-1</f>
        <v/>
      </c>
      <c r="G83" s="17">
        <f>D83/MAX(D$2:D83)-1</f>
        <v/>
      </c>
    </row>
    <row r="84">
      <c r="A84" s="14">
        <f>'Daily_Cash'!A84</f>
        <v/>
      </c>
      <c r="B84" s="10">
        <f>'Daily_Cash'!D84</f>
        <v/>
      </c>
      <c r="C84" s="10">
        <f>D84-B84</f>
        <v/>
      </c>
      <c r="D84" s="10">
        <f>'Daily_Cash'!B84</f>
        <v/>
      </c>
      <c r="E84" s="16">
        <f>D84/D83-1</f>
        <v/>
      </c>
      <c r="F84" s="16">
        <f>D84/D$2-1</f>
        <v/>
      </c>
      <c r="G84" s="16">
        <f>D84/MAX(D$2:D84)-1</f>
        <v/>
      </c>
    </row>
    <row r="85">
      <c r="A85" s="15">
        <f>'Daily_Cash'!A85</f>
        <v/>
      </c>
      <c r="B85" s="13">
        <f>'Daily_Cash'!D85</f>
        <v/>
      </c>
      <c r="C85" s="13">
        <f>D85-B85</f>
        <v/>
      </c>
      <c r="D85" s="13">
        <f>'Daily_Cash'!B85</f>
        <v/>
      </c>
      <c r="E85" s="17">
        <f>D85/D84-1</f>
        <v/>
      </c>
      <c r="F85" s="17">
        <f>D85/D$2-1</f>
        <v/>
      </c>
      <c r="G85" s="17">
        <f>D85/MAX(D$2:D85)-1</f>
        <v/>
      </c>
    </row>
    <row r="86">
      <c r="A86" s="14">
        <f>'Daily_Cash'!A86</f>
        <v/>
      </c>
      <c r="B86" s="10">
        <f>'Daily_Cash'!D86</f>
        <v/>
      </c>
      <c r="C86" s="10">
        <f>D86-B86</f>
        <v/>
      </c>
      <c r="D86" s="10">
        <f>'Daily_Cash'!B86</f>
        <v/>
      </c>
      <c r="E86" s="16">
        <f>D86/D85-1</f>
        <v/>
      </c>
      <c r="F86" s="16">
        <f>D86/D$2-1</f>
        <v/>
      </c>
      <c r="G86" s="16">
        <f>D86/MAX(D$2:D86)-1</f>
        <v/>
      </c>
    </row>
    <row r="87">
      <c r="A87" s="15">
        <f>'Daily_Cash'!A87</f>
        <v/>
      </c>
      <c r="B87" s="13">
        <f>'Daily_Cash'!D87</f>
        <v/>
      </c>
      <c r="C87" s="13">
        <f>D87-B87</f>
        <v/>
      </c>
      <c r="D87" s="13">
        <f>'Daily_Cash'!B87</f>
        <v/>
      </c>
      <c r="E87" s="17">
        <f>D87/D86-1</f>
        <v/>
      </c>
      <c r="F87" s="17">
        <f>D87/D$2-1</f>
        <v/>
      </c>
      <c r="G87" s="17">
        <f>D87/MAX(D$2:D87)-1</f>
        <v/>
      </c>
    </row>
    <row r="88">
      <c r="A88" s="14">
        <f>'Daily_Cash'!A88</f>
        <v/>
      </c>
      <c r="B88" s="10">
        <f>'Daily_Cash'!D88</f>
        <v/>
      </c>
      <c r="C88" s="10">
        <f>D88-B88</f>
        <v/>
      </c>
      <c r="D88" s="10">
        <f>'Daily_Cash'!B88</f>
        <v/>
      </c>
      <c r="E88" s="16">
        <f>D88/D87-1</f>
        <v/>
      </c>
      <c r="F88" s="16">
        <f>D88/D$2-1</f>
        <v/>
      </c>
      <c r="G88" s="16">
        <f>D88/MAX(D$2:D88)-1</f>
        <v/>
      </c>
    </row>
    <row r="89">
      <c r="A89" s="15">
        <f>'Daily_Cash'!A89</f>
        <v/>
      </c>
      <c r="B89" s="13">
        <f>'Daily_Cash'!D89</f>
        <v/>
      </c>
      <c r="C89" s="13">
        <f>D89-B89</f>
        <v/>
      </c>
      <c r="D89" s="13">
        <f>'Daily_Cash'!B89</f>
        <v/>
      </c>
      <c r="E89" s="17">
        <f>D89/D88-1</f>
        <v/>
      </c>
      <c r="F89" s="17">
        <f>D89/D$2-1</f>
        <v/>
      </c>
      <c r="G89" s="17">
        <f>D89/MAX(D$2:D89)-1</f>
        <v/>
      </c>
    </row>
    <row r="90">
      <c r="A90" s="14">
        <f>'Daily_Cash'!A90</f>
        <v/>
      </c>
      <c r="B90" s="10">
        <f>'Daily_Cash'!D90</f>
        <v/>
      </c>
      <c r="C90" s="10">
        <f>D90-B90</f>
        <v/>
      </c>
      <c r="D90" s="10">
        <f>'Daily_Cash'!B90</f>
        <v/>
      </c>
      <c r="E90" s="16">
        <f>D90/D89-1</f>
        <v/>
      </c>
      <c r="F90" s="16">
        <f>D90/D$2-1</f>
        <v/>
      </c>
      <c r="G90" s="16">
        <f>D90/MAX(D$2:D90)-1</f>
        <v/>
      </c>
    </row>
    <row r="91">
      <c r="A91" s="15">
        <f>'Daily_Cash'!A91</f>
        <v/>
      </c>
      <c r="B91" s="13">
        <f>'Daily_Cash'!D91</f>
        <v/>
      </c>
      <c r="C91" s="13">
        <f>D91-B91</f>
        <v/>
      </c>
      <c r="D91" s="13">
        <f>'Daily_Cash'!B91</f>
        <v/>
      </c>
      <c r="E91" s="17">
        <f>D91/D90-1</f>
        <v/>
      </c>
      <c r="F91" s="17">
        <f>D91/D$2-1</f>
        <v/>
      </c>
      <c r="G91" s="17">
        <f>D91/MAX(D$2:D91)-1</f>
        <v/>
      </c>
    </row>
    <row r="92">
      <c r="A92" s="14">
        <f>'Daily_Cash'!A92</f>
        <v/>
      </c>
      <c r="B92" s="10">
        <f>'Daily_Cash'!D92</f>
        <v/>
      </c>
      <c r="C92" s="10">
        <f>D92-B92</f>
        <v/>
      </c>
      <c r="D92" s="10">
        <f>'Daily_Cash'!B92</f>
        <v/>
      </c>
      <c r="E92" s="16">
        <f>D92/D91-1</f>
        <v/>
      </c>
      <c r="F92" s="16">
        <f>D92/D$2-1</f>
        <v/>
      </c>
      <c r="G92" s="16">
        <f>D92/MAX(D$2:D92)-1</f>
        <v/>
      </c>
    </row>
    <row r="93">
      <c r="A93" s="15">
        <f>'Daily_Cash'!A93</f>
        <v/>
      </c>
      <c r="B93" s="13">
        <f>'Daily_Cash'!D93</f>
        <v/>
      </c>
      <c r="C93" s="13">
        <f>D93-B93</f>
        <v/>
      </c>
      <c r="D93" s="13">
        <f>'Daily_Cash'!B93</f>
        <v/>
      </c>
      <c r="E93" s="17">
        <f>D93/D92-1</f>
        <v/>
      </c>
      <c r="F93" s="17">
        <f>D93/D$2-1</f>
        <v/>
      </c>
      <c r="G93" s="17">
        <f>D93/MAX(D$2:D93)-1</f>
        <v/>
      </c>
    </row>
    <row r="94">
      <c r="A94" s="14">
        <f>'Daily_Cash'!A94</f>
        <v/>
      </c>
      <c r="B94" s="10">
        <f>'Daily_Cash'!D94</f>
        <v/>
      </c>
      <c r="C94" s="10">
        <f>D94-B94</f>
        <v/>
      </c>
      <c r="D94" s="10">
        <f>'Daily_Cash'!B94</f>
        <v/>
      </c>
      <c r="E94" s="16">
        <f>D94/D93-1</f>
        <v/>
      </c>
      <c r="F94" s="16">
        <f>D94/D$2-1</f>
        <v/>
      </c>
      <c r="G94" s="16">
        <f>D94/MAX(D$2:D94)-1</f>
        <v/>
      </c>
    </row>
    <row r="95">
      <c r="A95" s="15">
        <f>'Daily_Cash'!A95</f>
        <v/>
      </c>
      <c r="B95" s="13">
        <f>'Daily_Cash'!D95</f>
        <v/>
      </c>
      <c r="C95" s="13">
        <f>D95-B95</f>
        <v/>
      </c>
      <c r="D95" s="13">
        <f>'Daily_Cash'!B95</f>
        <v/>
      </c>
      <c r="E95" s="17">
        <f>D95/D94-1</f>
        <v/>
      </c>
      <c r="F95" s="17">
        <f>D95/D$2-1</f>
        <v/>
      </c>
      <c r="G95" s="17">
        <f>D95/MAX(D$2:D95)-1</f>
        <v/>
      </c>
    </row>
    <row r="96">
      <c r="A96" s="14">
        <f>'Daily_Cash'!A96</f>
        <v/>
      </c>
      <c r="B96" s="10">
        <f>'Daily_Cash'!D96</f>
        <v/>
      </c>
      <c r="C96" s="10">
        <f>D96-B96</f>
        <v/>
      </c>
      <c r="D96" s="10">
        <f>'Daily_Cash'!B96</f>
        <v/>
      </c>
      <c r="E96" s="16">
        <f>D96/D95-1</f>
        <v/>
      </c>
      <c r="F96" s="16">
        <f>D96/D$2-1</f>
        <v/>
      </c>
      <c r="G96" s="16">
        <f>D96/MAX(D$2:D96)-1</f>
        <v/>
      </c>
    </row>
    <row r="97">
      <c r="A97" s="15">
        <f>'Daily_Cash'!A97</f>
        <v/>
      </c>
      <c r="B97" s="13">
        <f>'Daily_Cash'!D97</f>
        <v/>
      </c>
      <c r="C97" s="13">
        <f>D97-B97</f>
        <v/>
      </c>
      <c r="D97" s="13">
        <f>'Daily_Cash'!B97</f>
        <v/>
      </c>
      <c r="E97" s="17">
        <f>D97/D96-1</f>
        <v/>
      </c>
      <c r="F97" s="17">
        <f>D97/D$2-1</f>
        <v/>
      </c>
      <c r="G97" s="17">
        <f>D97/MAX(D$2:D97)-1</f>
        <v/>
      </c>
    </row>
    <row r="98">
      <c r="A98" s="14">
        <f>'Daily_Cash'!A98</f>
        <v/>
      </c>
      <c r="B98" s="10">
        <f>'Daily_Cash'!D98</f>
        <v/>
      </c>
      <c r="C98" s="10">
        <f>D98-B98</f>
        <v/>
      </c>
      <c r="D98" s="10">
        <f>'Daily_Cash'!B98</f>
        <v/>
      </c>
      <c r="E98" s="16">
        <f>D98/D97-1</f>
        <v/>
      </c>
      <c r="F98" s="16">
        <f>D98/D$2-1</f>
        <v/>
      </c>
      <c r="G98" s="16">
        <f>D98/MAX(D$2:D98)-1</f>
        <v/>
      </c>
    </row>
    <row r="99">
      <c r="A99" s="15">
        <f>'Daily_Cash'!A99</f>
        <v/>
      </c>
      <c r="B99" s="13">
        <f>'Daily_Cash'!D99</f>
        <v/>
      </c>
      <c r="C99" s="13">
        <f>D99-B99</f>
        <v/>
      </c>
      <c r="D99" s="13">
        <f>'Daily_Cash'!B99</f>
        <v/>
      </c>
      <c r="E99" s="17">
        <f>D99/D98-1</f>
        <v/>
      </c>
      <c r="F99" s="17">
        <f>D99/D$2-1</f>
        <v/>
      </c>
      <c r="G99" s="17">
        <f>D99/MAX(D$2:D99)-1</f>
        <v/>
      </c>
    </row>
    <row r="100">
      <c r="A100" s="14">
        <f>'Daily_Cash'!A100</f>
        <v/>
      </c>
      <c r="B100" s="10">
        <f>'Daily_Cash'!D100</f>
        <v/>
      </c>
      <c r="C100" s="10">
        <f>D100-B100</f>
        <v/>
      </c>
      <c r="D100" s="10">
        <f>'Daily_Cash'!B100</f>
        <v/>
      </c>
      <c r="E100" s="16">
        <f>D100/D99-1</f>
        <v/>
      </c>
      <c r="F100" s="16">
        <f>D100/D$2-1</f>
        <v/>
      </c>
      <c r="G100" s="16">
        <f>D100/MAX(D$2:D100)-1</f>
        <v/>
      </c>
    </row>
    <row r="101">
      <c r="A101" s="15">
        <f>'Daily_Cash'!A101</f>
        <v/>
      </c>
      <c r="B101" s="13">
        <f>'Daily_Cash'!D101</f>
        <v/>
      </c>
      <c r="C101" s="13">
        <f>D101-B101</f>
        <v/>
      </c>
      <c r="D101" s="13">
        <f>'Daily_Cash'!B101</f>
        <v/>
      </c>
      <c r="E101" s="17">
        <f>D101/D100-1</f>
        <v/>
      </c>
      <c r="F101" s="17">
        <f>D101/D$2-1</f>
        <v/>
      </c>
      <c r="G101" s="17">
        <f>D101/MAX(D$2:D101)-1</f>
        <v/>
      </c>
    </row>
    <row r="102">
      <c r="A102" s="14">
        <f>'Daily_Cash'!A102</f>
        <v/>
      </c>
      <c r="B102" s="10">
        <f>'Daily_Cash'!D102</f>
        <v/>
      </c>
      <c r="C102" s="10">
        <f>D102-B102</f>
        <v/>
      </c>
      <c r="D102" s="10">
        <f>'Daily_Cash'!B102</f>
        <v/>
      </c>
      <c r="E102" s="16">
        <f>D102/D101-1</f>
        <v/>
      </c>
      <c r="F102" s="16">
        <f>D102/D$2-1</f>
        <v/>
      </c>
      <c r="G102" s="16">
        <f>D102/MAX(D$2:D102)-1</f>
        <v/>
      </c>
    </row>
    <row r="103">
      <c r="A103" s="15">
        <f>'Daily_Cash'!A103</f>
        <v/>
      </c>
      <c r="B103" s="13">
        <f>'Daily_Cash'!D103</f>
        <v/>
      </c>
      <c r="C103" s="13">
        <f>D103-B103</f>
        <v/>
      </c>
      <c r="D103" s="13">
        <f>'Daily_Cash'!B103</f>
        <v/>
      </c>
      <c r="E103" s="17">
        <f>D103/D102-1</f>
        <v/>
      </c>
      <c r="F103" s="17">
        <f>D103/D$2-1</f>
        <v/>
      </c>
      <c r="G103" s="17">
        <f>D103/MAX(D$2:D103)-1</f>
        <v/>
      </c>
    </row>
    <row r="104">
      <c r="A104" s="14">
        <f>'Daily_Cash'!A104</f>
        <v/>
      </c>
      <c r="B104" s="10">
        <f>'Daily_Cash'!D104</f>
        <v/>
      </c>
      <c r="C104" s="10">
        <f>D104-B104</f>
        <v/>
      </c>
      <c r="D104" s="10">
        <f>'Daily_Cash'!B104</f>
        <v/>
      </c>
      <c r="E104" s="16">
        <f>D104/D103-1</f>
        <v/>
      </c>
      <c r="F104" s="16">
        <f>D104/D$2-1</f>
        <v/>
      </c>
      <c r="G104" s="16">
        <f>D104/MAX(D$2:D104)-1</f>
        <v/>
      </c>
    </row>
    <row r="105">
      <c r="A105" s="15">
        <f>'Daily_Cash'!A105</f>
        <v/>
      </c>
      <c r="B105" s="13">
        <f>'Daily_Cash'!D105</f>
        <v/>
      </c>
      <c r="C105" s="13">
        <f>D105-B105</f>
        <v/>
      </c>
      <c r="D105" s="13">
        <f>'Daily_Cash'!B105</f>
        <v/>
      </c>
      <c r="E105" s="17">
        <f>D105/D104-1</f>
        <v/>
      </c>
      <c r="F105" s="17">
        <f>D105/D$2-1</f>
        <v/>
      </c>
      <c r="G105" s="17">
        <f>D105/MAX(D$2:D105)-1</f>
        <v/>
      </c>
    </row>
    <row r="106">
      <c r="A106" s="14">
        <f>'Daily_Cash'!A106</f>
        <v/>
      </c>
      <c r="B106" s="10">
        <f>'Daily_Cash'!D106</f>
        <v/>
      </c>
      <c r="C106" s="10">
        <f>D106-B106</f>
        <v/>
      </c>
      <c r="D106" s="10">
        <f>'Daily_Cash'!B106</f>
        <v/>
      </c>
      <c r="E106" s="16">
        <f>D106/D105-1</f>
        <v/>
      </c>
      <c r="F106" s="16">
        <f>D106/D$2-1</f>
        <v/>
      </c>
      <c r="G106" s="16">
        <f>D106/MAX(D$2:D106)-1</f>
        <v/>
      </c>
    </row>
    <row r="107">
      <c r="A107" s="15">
        <f>'Daily_Cash'!A107</f>
        <v/>
      </c>
      <c r="B107" s="13">
        <f>'Daily_Cash'!D107</f>
        <v/>
      </c>
      <c r="C107" s="13">
        <f>D107-B107</f>
        <v/>
      </c>
      <c r="D107" s="13">
        <f>'Daily_Cash'!B107</f>
        <v/>
      </c>
      <c r="E107" s="17">
        <f>D107/D106-1</f>
        <v/>
      </c>
      <c r="F107" s="17">
        <f>D107/D$2-1</f>
        <v/>
      </c>
      <c r="G107" s="17">
        <f>D107/MAX(D$2:D107)-1</f>
        <v/>
      </c>
    </row>
    <row r="108">
      <c r="A108" s="14">
        <f>'Daily_Cash'!A108</f>
        <v/>
      </c>
      <c r="B108" s="10">
        <f>'Daily_Cash'!D108</f>
        <v/>
      </c>
      <c r="C108" s="10">
        <f>D108-B108</f>
        <v/>
      </c>
      <c r="D108" s="10">
        <f>'Daily_Cash'!B108</f>
        <v/>
      </c>
      <c r="E108" s="16">
        <f>D108/D107-1</f>
        <v/>
      </c>
      <c r="F108" s="16">
        <f>D108/D$2-1</f>
        <v/>
      </c>
      <c r="G108" s="16">
        <f>D108/MAX(D$2:D108)-1</f>
        <v/>
      </c>
    </row>
    <row r="109">
      <c r="A109" s="15">
        <f>'Daily_Cash'!A109</f>
        <v/>
      </c>
      <c r="B109" s="13">
        <f>'Daily_Cash'!D109</f>
        <v/>
      </c>
      <c r="C109" s="13">
        <f>D109-B109</f>
        <v/>
      </c>
      <c r="D109" s="13">
        <f>'Daily_Cash'!B109</f>
        <v/>
      </c>
      <c r="E109" s="17">
        <f>D109/D108-1</f>
        <v/>
      </c>
      <c r="F109" s="17">
        <f>D109/D$2-1</f>
        <v/>
      </c>
      <c r="G109" s="17">
        <f>D109/MAX(D$2:D109)-1</f>
        <v/>
      </c>
    </row>
    <row r="110">
      <c r="A110" s="14">
        <f>'Daily_Cash'!A110</f>
        <v/>
      </c>
      <c r="B110" s="10">
        <f>'Daily_Cash'!D110</f>
        <v/>
      </c>
      <c r="C110" s="10">
        <f>D110-B110</f>
        <v/>
      </c>
      <c r="D110" s="10">
        <f>'Daily_Cash'!B110</f>
        <v/>
      </c>
      <c r="E110" s="16">
        <f>D110/D109-1</f>
        <v/>
      </c>
      <c r="F110" s="16">
        <f>D110/D$2-1</f>
        <v/>
      </c>
      <c r="G110" s="16">
        <f>D110/MAX(D$2:D110)-1</f>
        <v/>
      </c>
    </row>
    <row r="111">
      <c r="A111" s="15">
        <f>'Daily_Cash'!A111</f>
        <v/>
      </c>
      <c r="B111" s="13">
        <f>'Daily_Cash'!D111</f>
        <v/>
      </c>
      <c r="C111" s="13">
        <f>D111-B111</f>
        <v/>
      </c>
      <c r="D111" s="13">
        <f>'Daily_Cash'!B111</f>
        <v/>
      </c>
      <c r="E111" s="17">
        <f>D111/D110-1</f>
        <v/>
      </c>
      <c r="F111" s="17">
        <f>D111/D$2-1</f>
        <v/>
      </c>
      <c r="G111" s="17">
        <f>D111/MAX(D$2:D111)-1</f>
        <v/>
      </c>
    </row>
    <row r="112">
      <c r="A112" s="14">
        <f>'Daily_Cash'!A112</f>
        <v/>
      </c>
      <c r="B112" s="10">
        <f>'Daily_Cash'!D112</f>
        <v/>
      </c>
      <c r="C112" s="10">
        <f>D112-B112</f>
        <v/>
      </c>
      <c r="D112" s="10">
        <f>'Daily_Cash'!B112</f>
        <v/>
      </c>
      <c r="E112" s="16">
        <f>D112/D111-1</f>
        <v/>
      </c>
      <c r="F112" s="16">
        <f>D112/D$2-1</f>
        <v/>
      </c>
      <c r="G112" s="16">
        <f>D112/MAX(D$2:D112)-1</f>
        <v/>
      </c>
    </row>
    <row r="113">
      <c r="A113" s="15">
        <f>'Daily_Cash'!A113</f>
        <v/>
      </c>
      <c r="B113" s="13">
        <f>'Daily_Cash'!D113</f>
        <v/>
      </c>
      <c r="C113" s="13">
        <f>D113-B113</f>
        <v/>
      </c>
      <c r="D113" s="13">
        <f>'Daily_Cash'!B113</f>
        <v/>
      </c>
      <c r="E113" s="17">
        <f>D113/D112-1</f>
        <v/>
      </c>
      <c r="F113" s="17">
        <f>D113/D$2-1</f>
        <v/>
      </c>
      <c r="G113" s="17">
        <f>D113/MAX(D$2:D113)-1</f>
        <v/>
      </c>
    </row>
    <row r="114">
      <c r="A114" s="14">
        <f>'Daily_Cash'!A114</f>
        <v/>
      </c>
      <c r="B114" s="10">
        <f>'Daily_Cash'!D114</f>
        <v/>
      </c>
      <c r="C114" s="10">
        <f>D114-B114</f>
        <v/>
      </c>
      <c r="D114" s="10">
        <f>'Daily_Cash'!B114</f>
        <v/>
      </c>
      <c r="E114" s="16">
        <f>D114/D113-1</f>
        <v/>
      </c>
      <c r="F114" s="16">
        <f>D114/D$2-1</f>
        <v/>
      </c>
      <c r="G114" s="16">
        <f>D114/MAX(D$2:D114)-1</f>
        <v/>
      </c>
    </row>
    <row r="115">
      <c r="A115" s="15">
        <f>'Daily_Cash'!A115</f>
        <v/>
      </c>
      <c r="B115" s="13">
        <f>'Daily_Cash'!D115</f>
        <v/>
      </c>
      <c r="C115" s="13">
        <f>D115-B115</f>
        <v/>
      </c>
      <c r="D115" s="13">
        <f>'Daily_Cash'!B115</f>
        <v/>
      </c>
      <c r="E115" s="17">
        <f>D115/D114-1</f>
        <v/>
      </c>
      <c r="F115" s="17">
        <f>D115/D$2-1</f>
        <v/>
      </c>
      <c r="G115" s="17">
        <f>D115/MAX(D$2:D115)-1</f>
        <v/>
      </c>
    </row>
    <row r="116">
      <c r="A116" s="14">
        <f>'Daily_Cash'!A116</f>
        <v/>
      </c>
      <c r="B116" s="10">
        <f>'Daily_Cash'!D116</f>
        <v/>
      </c>
      <c r="C116" s="10">
        <f>D116-B116</f>
        <v/>
      </c>
      <c r="D116" s="10">
        <f>'Daily_Cash'!B116</f>
        <v/>
      </c>
      <c r="E116" s="16">
        <f>D116/D115-1</f>
        <v/>
      </c>
      <c r="F116" s="16">
        <f>D116/D$2-1</f>
        <v/>
      </c>
      <c r="G116" s="16">
        <f>D116/MAX(D$2:D116)-1</f>
        <v/>
      </c>
    </row>
    <row r="117">
      <c r="A117" s="15">
        <f>'Daily_Cash'!A117</f>
        <v/>
      </c>
      <c r="B117" s="13">
        <f>'Daily_Cash'!D117</f>
        <v/>
      </c>
      <c r="C117" s="13">
        <f>D117-B117</f>
        <v/>
      </c>
      <c r="D117" s="13">
        <f>'Daily_Cash'!B117</f>
        <v/>
      </c>
      <c r="E117" s="17">
        <f>D117/D116-1</f>
        <v/>
      </c>
      <c r="F117" s="17">
        <f>D117/D$2-1</f>
        <v/>
      </c>
      <c r="G117" s="17">
        <f>D117/MAX(D$2:D117)-1</f>
        <v/>
      </c>
    </row>
    <row r="118">
      <c r="A118" s="14">
        <f>'Daily_Cash'!A118</f>
        <v/>
      </c>
      <c r="B118" s="10">
        <f>'Daily_Cash'!D118</f>
        <v/>
      </c>
      <c r="C118" s="10">
        <f>D118-B118</f>
        <v/>
      </c>
      <c r="D118" s="10">
        <f>'Daily_Cash'!B118</f>
        <v/>
      </c>
      <c r="E118" s="16">
        <f>D118/D117-1</f>
        <v/>
      </c>
      <c r="F118" s="16">
        <f>D118/D$2-1</f>
        <v/>
      </c>
      <c r="G118" s="16">
        <f>D118/MAX(D$2:D118)-1</f>
        <v/>
      </c>
    </row>
    <row r="119">
      <c r="A119" s="15">
        <f>'Daily_Cash'!A119</f>
        <v/>
      </c>
      <c r="B119" s="13">
        <f>'Daily_Cash'!D119</f>
        <v/>
      </c>
      <c r="C119" s="13">
        <f>D119-B119</f>
        <v/>
      </c>
      <c r="D119" s="13">
        <f>'Daily_Cash'!B119</f>
        <v/>
      </c>
      <c r="E119" s="17">
        <f>D119/D118-1</f>
        <v/>
      </c>
      <c r="F119" s="17">
        <f>D119/D$2-1</f>
        <v/>
      </c>
      <c r="G119" s="17">
        <f>D119/MAX(D$2:D119)-1</f>
        <v/>
      </c>
    </row>
    <row r="120">
      <c r="A120" s="14">
        <f>'Daily_Cash'!A120</f>
        <v/>
      </c>
      <c r="B120" s="10">
        <f>'Daily_Cash'!D120</f>
        <v/>
      </c>
      <c r="C120" s="10">
        <f>D120-B120</f>
        <v/>
      </c>
      <c r="D120" s="10">
        <f>'Daily_Cash'!B120</f>
        <v/>
      </c>
      <c r="E120" s="16">
        <f>D120/D119-1</f>
        <v/>
      </c>
      <c r="F120" s="16">
        <f>D120/D$2-1</f>
        <v/>
      </c>
      <c r="G120" s="16">
        <f>D120/MAX(D$2:D120)-1</f>
        <v/>
      </c>
    </row>
    <row r="121">
      <c r="A121" s="15">
        <f>'Daily_Cash'!A121</f>
        <v/>
      </c>
      <c r="B121" s="13">
        <f>'Daily_Cash'!D121</f>
        <v/>
      </c>
      <c r="C121" s="13">
        <f>D121-B121</f>
        <v/>
      </c>
      <c r="D121" s="13">
        <f>'Daily_Cash'!B121</f>
        <v/>
      </c>
      <c r="E121" s="17">
        <f>D121/D120-1</f>
        <v/>
      </c>
      <c r="F121" s="17">
        <f>D121/D$2-1</f>
        <v/>
      </c>
      <c r="G121" s="17">
        <f>D121/MAX(D$2:D121)-1</f>
        <v/>
      </c>
    </row>
    <row r="122">
      <c r="A122" s="14">
        <f>'Daily_Cash'!A122</f>
        <v/>
      </c>
      <c r="B122" s="10">
        <f>'Daily_Cash'!D122</f>
        <v/>
      </c>
      <c r="C122" s="10">
        <f>D122-B122</f>
        <v/>
      </c>
      <c r="D122" s="10">
        <f>'Daily_Cash'!B122</f>
        <v/>
      </c>
      <c r="E122" s="16">
        <f>D122/D121-1</f>
        <v/>
      </c>
      <c r="F122" s="16">
        <f>D122/D$2-1</f>
        <v/>
      </c>
      <c r="G122" s="16">
        <f>D122/MAX(D$2:D122)-1</f>
        <v/>
      </c>
    </row>
    <row r="123">
      <c r="A123" s="15">
        <f>'Daily_Cash'!A123</f>
        <v/>
      </c>
      <c r="B123" s="13">
        <f>'Daily_Cash'!D123</f>
        <v/>
      </c>
      <c r="C123" s="13">
        <f>D123-B123</f>
        <v/>
      </c>
      <c r="D123" s="13">
        <f>'Daily_Cash'!B123</f>
        <v/>
      </c>
      <c r="E123" s="17">
        <f>D123/D122-1</f>
        <v/>
      </c>
      <c r="F123" s="17">
        <f>D123/D$2-1</f>
        <v/>
      </c>
      <c r="G123" s="17">
        <f>D123/MAX(D$2:D123)-1</f>
        <v/>
      </c>
    </row>
    <row r="124">
      <c r="A124" s="14">
        <f>'Daily_Cash'!A124</f>
        <v/>
      </c>
      <c r="B124" s="10">
        <f>'Daily_Cash'!D124</f>
        <v/>
      </c>
      <c r="C124" s="10">
        <f>D124-B124</f>
        <v/>
      </c>
      <c r="D124" s="10">
        <f>'Daily_Cash'!B124</f>
        <v/>
      </c>
      <c r="E124" s="16">
        <f>D124/D123-1</f>
        <v/>
      </c>
      <c r="F124" s="16">
        <f>D124/D$2-1</f>
        <v/>
      </c>
      <c r="G124" s="16">
        <f>D124/MAX(D$2:D124)-1</f>
        <v/>
      </c>
    </row>
    <row r="125">
      <c r="A125" s="15">
        <f>'Daily_Cash'!A125</f>
        <v/>
      </c>
      <c r="B125" s="13">
        <f>'Daily_Cash'!D125</f>
        <v/>
      </c>
      <c r="C125" s="13">
        <f>D125-B125</f>
        <v/>
      </c>
      <c r="D125" s="13">
        <f>'Daily_Cash'!B125</f>
        <v/>
      </c>
      <c r="E125" s="17">
        <f>D125/D124-1</f>
        <v/>
      </c>
      <c r="F125" s="17">
        <f>D125/D$2-1</f>
        <v/>
      </c>
      <c r="G125" s="17">
        <f>D125/MAX(D$2:D125)-1</f>
        <v/>
      </c>
    </row>
    <row r="126">
      <c r="A126" s="14">
        <f>'Daily_Cash'!A126</f>
        <v/>
      </c>
      <c r="B126" s="10">
        <f>'Daily_Cash'!D126</f>
        <v/>
      </c>
      <c r="C126" s="10">
        <f>D126-B126</f>
        <v/>
      </c>
      <c r="D126" s="10">
        <f>'Daily_Cash'!B126</f>
        <v/>
      </c>
      <c r="E126" s="16">
        <f>D126/D125-1</f>
        <v/>
      </c>
      <c r="F126" s="16">
        <f>D126/D$2-1</f>
        <v/>
      </c>
      <c r="G126" s="16">
        <f>D126/MAX(D$2:D126)-1</f>
        <v/>
      </c>
    </row>
    <row r="127">
      <c r="A127" s="15">
        <f>'Daily_Cash'!A127</f>
        <v/>
      </c>
      <c r="B127" s="13">
        <f>'Daily_Cash'!D127</f>
        <v/>
      </c>
      <c r="C127" s="13">
        <f>D127-B127</f>
        <v/>
      </c>
      <c r="D127" s="13">
        <f>'Daily_Cash'!B127</f>
        <v/>
      </c>
      <c r="E127" s="17">
        <f>D127/D126-1</f>
        <v/>
      </c>
      <c r="F127" s="17">
        <f>D127/D$2-1</f>
        <v/>
      </c>
      <c r="G127" s="17">
        <f>D127/MAX(D$2:D127)-1</f>
        <v/>
      </c>
    </row>
    <row r="128">
      <c r="A128" s="14">
        <f>'Daily_Cash'!A128</f>
        <v/>
      </c>
      <c r="B128" s="10">
        <f>'Daily_Cash'!D128</f>
        <v/>
      </c>
      <c r="C128" s="10">
        <f>D128-B128</f>
        <v/>
      </c>
      <c r="D128" s="10">
        <f>'Daily_Cash'!B128</f>
        <v/>
      </c>
      <c r="E128" s="16">
        <f>D128/D127-1</f>
        <v/>
      </c>
      <c r="F128" s="16">
        <f>D128/D$2-1</f>
        <v/>
      </c>
      <c r="G128" s="16">
        <f>D128/MAX(D$2:D128)-1</f>
        <v/>
      </c>
    </row>
    <row r="129">
      <c r="A129" s="15">
        <f>'Daily_Cash'!A129</f>
        <v/>
      </c>
      <c r="B129" s="13">
        <f>'Daily_Cash'!D129</f>
        <v/>
      </c>
      <c r="C129" s="13">
        <f>D129-B129</f>
        <v/>
      </c>
      <c r="D129" s="13">
        <f>'Daily_Cash'!B129</f>
        <v/>
      </c>
      <c r="E129" s="17">
        <f>D129/D128-1</f>
        <v/>
      </c>
      <c r="F129" s="17">
        <f>D129/D$2-1</f>
        <v/>
      </c>
      <c r="G129" s="17">
        <f>D129/MAX(D$2:D129)-1</f>
        <v/>
      </c>
    </row>
    <row r="130">
      <c r="A130" s="14">
        <f>'Daily_Cash'!A130</f>
        <v/>
      </c>
      <c r="B130" s="10">
        <f>'Daily_Cash'!D130</f>
        <v/>
      </c>
      <c r="C130" s="10">
        <f>D130-B130</f>
        <v/>
      </c>
      <c r="D130" s="10">
        <f>'Daily_Cash'!B130</f>
        <v/>
      </c>
      <c r="E130" s="16">
        <f>D130/D129-1</f>
        <v/>
      </c>
      <c r="F130" s="16">
        <f>D130/D$2-1</f>
        <v/>
      </c>
      <c r="G130" s="16">
        <f>D130/MAX(D$2:D130)-1</f>
        <v/>
      </c>
    </row>
    <row r="131">
      <c r="A131" s="15">
        <f>'Daily_Cash'!A131</f>
        <v/>
      </c>
      <c r="B131" s="13">
        <f>'Daily_Cash'!D131</f>
        <v/>
      </c>
      <c r="C131" s="13">
        <f>D131-B131</f>
        <v/>
      </c>
      <c r="D131" s="13">
        <f>'Daily_Cash'!B131</f>
        <v/>
      </c>
      <c r="E131" s="17">
        <f>D131/D130-1</f>
        <v/>
      </c>
      <c r="F131" s="17">
        <f>D131/D$2-1</f>
        <v/>
      </c>
      <c r="G131" s="17">
        <f>D131/MAX(D$2:D131)-1</f>
        <v/>
      </c>
    </row>
    <row r="132">
      <c r="A132" s="14">
        <f>'Daily_Cash'!A132</f>
        <v/>
      </c>
      <c r="B132" s="10">
        <f>'Daily_Cash'!D132</f>
        <v/>
      </c>
      <c r="C132" s="10">
        <f>D132-B132</f>
        <v/>
      </c>
      <c r="D132" s="10">
        <f>'Daily_Cash'!B132</f>
        <v/>
      </c>
      <c r="E132" s="16">
        <f>D132/D131-1</f>
        <v/>
      </c>
      <c r="F132" s="16">
        <f>D132/D$2-1</f>
        <v/>
      </c>
      <c r="G132" s="16">
        <f>D132/MAX(D$2:D132)-1</f>
        <v/>
      </c>
    </row>
    <row r="133">
      <c r="A133" s="15">
        <f>'Daily_Cash'!A133</f>
        <v/>
      </c>
      <c r="B133" s="13">
        <f>'Daily_Cash'!D133</f>
        <v/>
      </c>
      <c r="C133" s="13">
        <f>D133-B133</f>
        <v/>
      </c>
      <c r="D133" s="13">
        <f>'Daily_Cash'!B133</f>
        <v/>
      </c>
      <c r="E133" s="17">
        <f>D133/D132-1</f>
        <v/>
      </c>
      <c r="F133" s="17">
        <f>D133/D$2-1</f>
        <v/>
      </c>
      <c r="G133" s="17">
        <f>D133/MAX(D$2:D133)-1</f>
        <v/>
      </c>
    </row>
    <row r="134">
      <c r="A134" s="14">
        <f>'Daily_Cash'!A134</f>
        <v/>
      </c>
      <c r="B134" s="10">
        <f>'Daily_Cash'!D134</f>
        <v/>
      </c>
      <c r="C134" s="10">
        <f>D134-B134</f>
        <v/>
      </c>
      <c r="D134" s="10">
        <f>'Daily_Cash'!B134</f>
        <v/>
      </c>
      <c r="E134" s="16">
        <f>D134/D133-1</f>
        <v/>
      </c>
      <c r="F134" s="16">
        <f>D134/D$2-1</f>
        <v/>
      </c>
      <c r="G134" s="16">
        <f>D134/MAX(D$2:D134)-1</f>
        <v/>
      </c>
    </row>
    <row r="135">
      <c r="A135" s="15">
        <f>'Daily_Cash'!A135</f>
        <v/>
      </c>
      <c r="B135" s="13">
        <f>'Daily_Cash'!D135</f>
        <v/>
      </c>
      <c r="C135" s="13">
        <f>D135-B135</f>
        <v/>
      </c>
      <c r="D135" s="13">
        <f>'Daily_Cash'!B135</f>
        <v/>
      </c>
      <c r="E135" s="17">
        <f>D135/D134-1</f>
        <v/>
      </c>
      <c r="F135" s="17">
        <f>D135/D$2-1</f>
        <v/>
      </c>
      <c r="G135" s="17">
        <f>D135/MAX(D$2:D135)-1</f>
        <v/>
      </c>
    </row>
    <row r="136">
      <c r="A136" s="14">
        <f>'Daily_Cash'!A136</f>
        <v/>
      </c>
      <c r="B136" s="10">
        <f>'Daily_Cash'!D136</f>
        <v/>
      </c>
      <c r="C136" s="10">
        <f>D136-B136</f>
        <v/>
      </c>
      <c r="D136" s="10">
        <f>'Daily_Cash'!B136</f>
        <v/>
      </c>
      <c r="E136" s="16">
        <f>D136/D135-1</f>
        <v/>
      </c>
      <c r="F136" s="16">
        <f>D136/D$2-1</f>
        <v/>
      </c>
      <c r="G136" s="16">
        <f>D136/MAX(D$2:D136)-1</f>
        <v/>
      </c>
    </row>
    <row r="137">
      <c r="A137" s="15">
        <f>'Daily_Cash'!A137</f>
        <v/>
      </c>
      <c r="B137" s="13">
        <f>'Daily_Cash'!D137</f>
        <v/>
      </c>
      <c r="C137" s="13">
        <f>D137-B137</f>
        <v/>
      </c>
      <c r="D137" s="13">
        <f>'Daily_Cash'!B137</f>
        <v/>
      </c>
      <c r="E137" s="17">
        <f>D137/D136-1</f>
        <v/>
      </c>
      <c r="F137" s="17">
        <f>D137/D$2-1</f>
        <v/>
      </c>
      <c r="G137" s="17">
        <f>D137/MAX(D$2:D137)-1</f>
        <v/>
      </c>
    </row>
    <row r="138">
      <c r="A138" s="14">
        <f>'Daily_Cash'!A138</f>
        <v/>
      </c>
      <c r="B138" s="10">
        <f>'Daily_Cash'!D138</f>
        <v/>
      </c>
      <c r="C138" s="10">
        <f>D138-B138</f>
        <v/>
      </c>
      <c r="D138" s="10">
        <f>'Daily_Cash'!B138</f>
        <v/>
      </c>
      <c r="E138" s="16">
        <f>D138/D137-1</f>
        <v/>
      </c>
      <c r="F138" s="16">
        <f>D138/D$2-1</f>
        <v/>
      </c>
      <c r="G138" s="16">
        <f>D138/MAX(D$2:D138)-1</f>
        <v/>
      </c>
    </row>
    <row r="139">
      <c r="A139" s="15">
        <f>'Daily_Cash'!A139</f>
        <v/>
      </c>
      <c r="B139" s="13">
        <f>'Daily_Cash'!D139</f>
        <v/>
      </c>
      <c r="C139" s="13">
        <f>D139-B139</f>
        <v/>
      </c>
      <c r="D139" s="13">
        <f>'Daily_Cash'!B139</f>
        <v/>
      </c>
      <c r="E139" s="17">
        <f>D139/D138-1</f>
        <v/>
      </c>
      <c r="F139" s="17">
        <f>D139/D$2-1</f>
        <v/>
      </c>
      <c r="G139" s="17">
        <f>D139/MAX(D$2:D139)-1</f>
        <v/>
      </c>
    </row>
    <row r="140">
      <c r="A140" s="14">
        <f>'Daily_Cash'!A140</f>
        <v/>
      </c>
      <c r="B140" s="10">
        <f>'Daily_Cash'!D140</f>
        <v/>
      </c>
      <c r="C140" s="10">
        <f>D140-B140</f>
        <v/>
      </c>
      <c r="D140" s="10">
        <f>'Daily_Cash'!B140</f>
        <v/>
      </c>
      <c r="E140" s="16">
        <f>D140/D139-1</f>
        <v/>
      </c>
      <c r="F140" s="16">
        <f>D140/D$2-1</f>
        <v/>
      </c>
      <c r="G140" s="16">
        <f>D140/MAX(D$2:D140)-1</f>
        <v/>
      </c>
    </row>
    <row r="141">
      <c r="A141" s="15">
        <f>'Daily_Cash'!A141</f>
        <v/>
      </c>
      <c r="B141" s="13">
        <f>'Daily_Cash'!D141</f>
        <v/>
      </c>
      <c r="C141" s="13">
        <f>D141-B141</f>
        <v/>
      </c>
      <c r="D141" s="13">
        <f>'Daily_Cash'!B141</f>
        <v/>
      </c>
      <c r="E141" s="17">
        <f>D141/D140-1</f>
        <v/>
      </c>
      <c r="F141" s="17">
        <f>D141/D$2-1</f>
        <v/>
      </c>
      <c r="G141" s="17">
        <f>D141/MAX(D$2:D141)-1</f>
        <v/>
      </c>
    </row>
    <row r="142">
      <c r="A142" s="14">
        <f>'Daily_Cash'!A142</f>
        <v/>
      </c>
      <c r="B142" s="10">
        <f>'Daily_Cash'!D142</f>
        <v/>
      </c>
      <c r="C142" s="10">
        <f>D142-B142</f>
        <v/>
      </c>
      <c r="D142" s="10">
        <f>'Daily_Cash'!B142</f>
        <v/>
      </c>
      <c r="E142" s="16">
        <f>D142/D141-1</f>
        <v/>
      </c>
      <c r="F142" s="16">
        <f>D142/D$2-1</f>
        <v/>
      </c>
      <c r="G142" s="16">
        <f>D142/MAX(D$2:D142)-1</f>
        <v/>
      </c>
    </row>
    <row r="143">
      <c r="A143" s="15">
        <f>'Daily_Cash'!A143</f>
        <v/>
      </c>
      <c r="B143" s="13">
        <f>'Daily_Cash'!D143</f>
        <v/>
      </c>
      <c r="C143" s="13">
        <f>D143-B143</f>
        <v/>
      </c>
      <c r="D143" s="13">
        <f>'Daily_Cash'!B143</f>
        <v/>
      </c>
      <c r="E143" s="17">
        <f>D143/D142-1</f>
        <v/>
      </c>
      <c r="F143" s="17">
        <f>D143/D$2-1</f>
        <v/>
      </c>
      <c r="G143" s="17">
        <f>D143/MAX(D$2:D143)-1</f>
        <v/>
      </c>
    </row>
    <row r="144">
      <c r="A144" s="14">
        <f>'Daily_Cash'!A144</f>
        <v/>
      </c>
      <c r="B144" s="10">
        <f>'Daily_Cash'!D144</f>
        <v/>
      </c>
      <c r="C144" s="10">
        <f>D144-B144</f>
        <v/>
      </c>
      <c r="D144" s="10">
        <f>'Daily_Cash'!B144</f>
        <v/>
      </c>
      <c r="E144" s="16">
        <f>D144/D143-1</f>
        <v/>
      </c>
      <c r="F144" s="16">
        <f>D144/D$2-1</f>
        <v/>
      </c>
      <c r="G144" s="16">
        <f>D144/MAX(D$2:D144)-1</f>
        <v/>
      </c>
    </row>
    <row r="145">
      <c r="A145" s="15">
        <f>'Daily_Cash'!A145</f>
        <v/>
      </c>
      <c r="B145" s="13">
        <f>'Daily_Cash'!D145</f>
        <v/>
      </c>
      <c r="C145" s="13">
        <f>D145-B145</f>
        <v/>
      </c>
      <c r="D145" s="13">
        <f>'Daily_Cash'!B145</f>
        <v/>
      </c>
      <c r="E145" s="17">
        <f>D145/D144-1</f>
        <v/>
      </c>
      <c r="F145" s="17">
        <f>D145/D$2-1</f>
        <v/>
      </c>
      <c r="G145" s="17">
        <f>D145/MAX(D$2:D145)-1</f>
        <v/>
      </c>
    </row>
    <row r="146">
      <c r="A146" s="14">
        <f>'Daily_Cash'!A146</f>
        <v/>
      </c>
      <c r="B146" s="10">
        <f>'Daily_Cash'!D146</f>
        <v/>
      </c>
      <c r="C146" s="10">
        <f>D146-B146</f>
        <v/>
      </c>
      <c r="D146" s="10">
        <f>'Daily_Cash'!B146</f>
        <v/>
      </c>
      <c r="E146" s="16">
        <f>D146/D145-1</f>
        <v/>
      </c>
      <c r="F146" s="16">
        <f>D146/D$2-1</f>
        <v/>
      </c>
      <c r="G146" s="16">
        <f>D146/MAX(D$2:D146)-1</f>
        <v/>
      </c>
    </row>
    <row r="147">
      <c r="A147" s="15">
        <f>'Daily_Cash'!A147</f>
        <v/>
      </c>
      <c r="B147" s="13">
        <f>'Daily_Cash'!D147</f>
        <v/>
      </c>
      <c r="C147" s="13">
        <f>D147-B147</f>
        <v/>
      </c>
      <c r="D147" s="13">
        <f>'Daily_Cash'!B147</f>
        <v/>
      </c>
      <c r="E147" s="17">
        <f>D147/D146-1</f>
        <v/>
      </c>
      <c r="F147" s="17">
        <f>D147/D$2-1</f>
        <v/>
      </c>
      <c r="G147" s="17">
        <f>D147/MAX(D$2:D147)-1</f>
        <v/>
      </c>
    </row>
    <row r="148">
      <c r="A148" s="14">
        <f>'Daily_Cash'!A148</f>
        <v/>
      </c>
      <c r="B148" s="10">
        <f>'Daily_Cash'!D148</f>
        <v/>
      </c>
      <c r="C148" s="10">
        <f>D148-B148</f>
        <v/>
      </c>
      <c r="D148" s="10">
        <f>'Daily_Cash'!B148</f>
        <v/>
      </c>
      <c r="E148" s="16">
        <f>D148/D147-1</f>
        <v/>
      </c>
      <c r="F148" s="16">
        <f>D148/D$2-1</f>
        <v/>
      </c>
      <c r="G148" s="16">
        <f>D148/MAX(D$2:D148)-1</f>
        <v/>
      </c>
    </row>
    <row r="149">
      <c r="A149" s="15">
        <f>'Daily_Cash'!A149</f>
        <v/>
      </c>
      <c r="B149" s="13">
        <f>'Daily_Cash'!D149</f>
        <v/>
      </c>
      <c r="C149" s="13">
        <f>D149-B149</f>
        <v/>
      </c>
      <c r="D149" s="13">
        <f>'Daily_Cash'!B149</f>
        <v/>
      </c>
      <c r="E149" s="17">
        <f>D149/D148-1</f>
        <v/>
      </c>
      <c r="F149" s="17">
        <f>D149/D$2-1</f>
        <v/>
      </c>
      <c r="G149" s="17">
        <f>D149/MAX(D$2:D149)-1</f>
        <v/>
      </c>
    </row>
    <row r="150">
      <c r="A150" s="14">
        <f>'Daily_Cash'!A150</f>
        <v/>
      </c>
      <c r="B150" s="10">
        <f>'Daily_Cash'!D150</f>
        <v/>
      </c>
      <c r="C150" s="10">
        <f>D150-B150</f>
        <v/>
      </c>
      <c r="D150" s="10">
        <f>'Daily_Cash'!B150</f>
        <v/>
      </c>
      <c r="E150" s="16">
        <f>D150/D149-1</f>
        <v/>
      </c>
      <c r="F150" s="16">
        <f>D150/D$2-1</f>
        <v/>
      </c>
      <c r="G150" s="16">
        <f>D150/MAX(D$2:D150)-1</f>
        <v/>
      </c>
    </row>
    <row r="151">
      <c r="A151" s="15">
        <f>'Daily_Cash'!A151</f>
        <v/>
      </c>
      <c r="B151" s="13">
        <f>'Daily_Cash'!D151</f>
        <v/>
      </c>
      <c r="C151" s="13">
        <f>D151-B151</f>
        <v/>
      </c>
      <c r="D151" s="13">
        <f>'Daily_Cash'!B151</f>
        <v/>
      </c>
      <c r="E151" s="17">
        <f>D151/D150-1</f>
        <v/>
      </c>
      <c r="F151" s="17">
        <f>D151/D$2-1</f>
        <v/>
      </c>
      <c r="G151" s="17">
        <f>D151/MAX(D$2:D151)-1</f>
        <v/>
      </c>
    </row>
    <row r="152">
      <c r="A152" s="14">
        <f>'Daily_Cash'!A152</f>
        <v/>
      </c>
      <c r="B152" s="10">
        <f>'Daily_Cash'!D152</f>
        <v/>
      </c>
      <c r="C152" s="10">
        <f>D152-B152</f>
        <v/>
      </c>
      <c r="D152" s="10">
        <f>'Daily_Cash'!B152</f>
        <v/>
      </c>
      <c r="E152" s="16">
        <f>D152/D151-1</f>
        <v/>
      </c>
      <c r="F152" s="16">
        <f>D152/D$2-1</f>
        <v/>
      </c>
      <c r="G152" s="16">
        <f>D152/MAX(D$2:D152)-1</f>
        <v/>
      </c>
    </row>
    <row r="153">
      <c r="A153" s="15">
        <f>'Daily_Cash'!A153</f>
        <v/>
      </c>
      <c r="B153" s="13">
        <f>'Daily_Cash'!D153</f>
        <v/>
      </c>
      <c r="C153" s="13">
        <f>D153-B153</f>
        <v/>
      </c>
      <c r="D153" s="13">
        <f>'Daily_Cash'!B153</f>
        <v/>
      </c>
      <c r="E153" s="17">
        <f>D153/D152-1</f>
        <v/>
      </c>
      <c r="F153" s="17">
        <f>D153/D$2-1</f>
        <v/>
      </c>
      <c r="G153" s="17">
        <f>D153/MAX(D$2:D153)-1</f>
        <v/>
      </c>
    </row>
    <row r="154">
      <c r="A154" s="14">
        <f>'Daily_Cash'!A154</f>
        <v/>
      </c>
      <c r="B154" s="10">
        <f>'Daily_Cash'!D154</f>
        <v/>
      </c>
      <c r="C154" s="10">
        <f>D154-B154</f>
        <v/>
      </c>
      <c r="D154" s="10">
        <f>'Daily_Cash'!B154</f>
        <v/>
      </c>
      <c r="E154" s="16">
        <f>D154/D153-1</f>
        <v/>
      </c>
      <c r="F154" s="16">
        <f>D154/D$2-1</f>
        <v/>
      </c>
      <c r="G154" s="16">
        <f>D154/MAX(D$2:D154)-1</f>
        <v/>
      </c>
    </row>
    <row r="155">
      <c r="A155" s="15">
        <f>'Daily_Cash'!A155</f>
        <v/>
      </c>
      <c r="B155" s="13">
        <f>'Daily_Cash'!D155</f>
        <v/>
      </c>
      <c r="C155" s="13">
        <f>D155-B155</f>
        <v/>
      </c>
      <c r="D155" s="13">
        <f>'Daily_Cash'!B155</f>
        <v/>
      </c>
      <c r="E155" s="17">
        <f>D155/D154-1</f>
        <v/>
      </c>
      <c r="F155" s="17">
        <f>D155/D$2-1</f>
        <v/>
      </c>
      <c r="G155" s="17">
        <f>D155/MAX(D$2:D155)-1</f>
        <v/>
      </c>
    </row>
    <row r="156">
      <c r="A156" s="14">
        <f>'Daily_Cash'!A156</f>
        <v/>
      </c>
      <c r="B156" s="10">
        <f>'Daily_Cash'!D156</f>
        <v/>
      </c>
      <c r="C156" s="10">
        <f>D156-B156</f>
        <v/>
      </c>
      <c r="D156" s="10">
        <f>'Daily_Cash'!B156</f>
        <v/>
      </c>
      <c r="E156" s="16">
        <f>D156/D155-1</f>
        <v/>
      </c>
      <c r="F156" s="16">
        <f>D156/D$2-1</f>
        <v/>
      </c>
      <c r="G156" s="16">
        <f>D156/MAX(D$2:D156)-1</f>
        <v/>
      </c>
    </row>
    <row r="157">
      <c r="A157" s="15">
        <f>'Daily_Cash'!A157</f>
        <v/>
      </c>
      <c r="B157" s="13">
        <f>'Daily_Cash'!D157</f>
        <v/>
      </c>
      <c r="C157" s="13">
        <f>D157-B157</f>
        <v/>
      </c>
      <c r="D157" s="13">
        <f>'Daily_Cash'!B157</f>
        <v/>
      </c>
      <c r="E157" s="17">
        <f>D157/D156-1</f>
        <v/>
      </c>
      <c r="F157" s="17">
        <f>D157/D$2-1</f>
        <v/>
      </c>
      <c r="G157" s="17">
        <f>D157/MAX(D$2:D157)-1</f>
        <v/>
      </c>
    </row>
    <row r="158">
      <c r="A158" s="14">
        <f>'Daily_Cash'!A158</f>
        <v/>
      </c>
      <c r="B158" s="10">
        <f>'Daily_Cash'!D158</f>
        <v/>
      </c>
      <c r="C158" s="10">
        <f>D158-B158</f>
        <v/>
      </c>
      <c r="D158" s="10">
        <f>'Daily_Cash'!B158</f>
        <v/>
      </c>
      <c r="E158" s="16">
        <f>D158/D157-1</f>
        <v/>
      </c>
      <c r="F158" s="16">
        <f>D158/D$2-1</f>
        <v/>
      </c>
      <c r="G158" s="16">
        <f>D158/MAX(D$2:D158)-1</f>
        <v/>
      </c>
    </row>
    <row r="159">
      <c r="A159" s="15">
        <f>'Daily_Cash'!A159</f>
        <v/>
      </c>
      <c r="B159" s="13">
        <f>'Daily_Cash'!D159</f>
        <v/>
      </c>
      <c r="C159" s="13">
        <f>D159-B159</f>
        <v/>
      </c>
      <c r="D159" s="13">
        <f>'Daily_Cash'!B159</f>
        <v/>
      </c>
      <c r="E159" s="17">
        <f>D159/D158-1</f>
        <v/>
      </c>
      <c r="F159" s="17">
        <f>D159/D$2-1</f>
        <v/>
      </c>
      <c r="G159" s="17">
        <f>D159/MAX(D$2:D159)-1</f>
        <v/>
      </c>
    </row>
    <row r="160">
      <c r="A160" s="14">
        <f>'Daily_Cash'!A160</f>
        <v/>
      </c>
      <c r="B160" s="10">
        <f>'Daily_Cash'!D160</f>
        <v/>
      </c>
      <c r="C160" s="10">
        <f>D160-B160</f>
        <v/>
      </c>
      <c r="D160" s="10">
        <f>'Daily_Cash'!B160</f>
        <v/>
      </c>
      <c r="E160" s="16">
        <f>D160/D159-1</f>
        <v/>
      </c>
      <c r="F160" s="16">
        <f>D160/D$2-1</f>
        <v/>
      </c>
      <c r="G160" s="16">
        <f>D160/MAX(D$2:D160)-1</f>
        <v/>
      </c>
    </row>
    <row r="161">
      <c r="A161" s="15">
        <f>'Daily_Cash'!A161</f>
        <v/>
      </c>
      <c r="B161" s="13">
        <f>'Daily_Cash'!D161</f>
        <v/>
      </c>
      <c r="C161" s="13">
        <f>D161-B161</f>
        <v/>
      </c>
      <c r="D161" s="13">
        <f>'Daily_Cash'!B161</f>
        <v/>
      </c>
      <c r="E161" s="17">
        <f>D161/D160-1</f>
        <v/>
      </c>
      <c r="F161" s="17">
        <f>D161/D$2-1</f>
        <v/>
      </c>
      <c r="G161" s="17">
        <f>D161/MAX(D$2:D161)-1</f>
        <v/>
      </c>
    </row>
    <row r="162">
      <c r="A162" s="14">
        <f>'Daily_Cash'!A162</f>
        <v/>
      </c>
      <c r="B162" s="10">
        <f>'Daily_Cash'!D162</f>
        <v/>
      </c>
      <c r="C162" s="10">
        <f>D162-B162</f>
        <v/>
      </c>
      <c r="D162" s="10">
        <f>'Daily_Cash'!B162</f>
        <v/>
      </c>
      <c r="E162" s="16">
        <f>D162/D161-1</f>
        <v/>
      </c>
      <c r="F162" s="16">
        <f>D162/D$2-1</f>
        <v/>
      </c>
      <c r="G162" s="16">
        <f>D162/MAX(D$2:D162)-1</f>
        <v/>
      </c>
    </row>
    <row r="163">
      <c r="A163" s="15">
        <f>'Daily_Cash'!A163</f>
        <v/>
      </c>
      <c r="B163" s="13">
        <f>'Daily_Cash'!D163</f>
        <v/>
      </c>
      <c r="C163" s="13">
        <f>D163-B163</f>
        <v/>
      </c>
      <c r="D163" s="13">
        <f>'Daily_Cash'!B163</f>
        <v/>
      </c>
      <c r="E163" s="17">
        <f>D163/D162-1</f>
        <v/>
      </c>
      <c r="F163" s="17">
        <f>D163/D$2-1</f>
        <v/>
      </c>
      <c r="G163" s="17">
        <f>D163/MAX(D$2:D163)-1</f>
        <v/>
      </c>
    </row>
    <row r="164">
      <c r="A164" s="14">
        <f>'Daily_Cash'!A164</f>
        <v/>
      </c>
      <c r="B164" s="10">
        <f>'Daily_Cash'!D164</f>
        <v/>
      </c>
      <c r="C164" s="10">
        <f>D164-B164</f>
        <v/>
      </c>
      <c r="D164" s="10">
        <f>'Daily_Cash'!B164</f>
        <v/>
      </c>
      <c r="E164" s="16">
        <f>D164/D163-1</f>
        <v/>
      </c>
      <c r="F164" s="16">
        <f>D164/D$2-1</f>
        <v/>
      </c>
      <c r="G164" s="16">
        <f>D164/MAX(D$2:D164)-1</f>
        <v/>
      </c>
    </row>
    <row r="165">
      <c r="A165" s="15">
        <f>'Daily_Cash'!A165</f>
        <v/>
      </c>
      <c r="B165" s="13">
        <f>'Daily_Cash'!D165</f>
        <v/>
      </c>
      <c r="C165" s="13">
        <f>D165-B165</f>
        <v/>
      </c>
      <c r="D165" s="13">
        <f>'Daily_Cash'!B165</f>
        <v/>
      </c>
      <c r="E165" s="17">
        <f>D165/D164-1</f>
        <v/>
      </c>
      <c r="F165" s="17">
        <f>D165/D$2-1</f>
        <v/>
      </c>
      <c r="G165" s="17">
        <f>D165/MAX(D$2:D165)-1</f>
        <v/>
      </c>
    </row>
    <row r="166">
      <c r="A166" s="14">
        <f>'Daily_Cash'!A166</f>
        <v/>
      </c>
      <c r="B166" s="10">
        <f>'Daily_Cash'!D166</f>
        <v/>
      </c>
      <c r="C166" s="10">
        <f>D166-B166</f>
        <v/>
      </c>
      <c r="D166" s="10">
        <f>'Daily_Cash'!B166</f>
        <v/>
      </c>
      <c r="E166" s="16">
        <f>D166/D165-1</f>
        <v/>
      </c>
      <c r="F166" s="16">
        <f>D166/D$2-1</f>
        <v/>
      </c>
      <c r="G166" s="16">
        <f>D166/MAX(D$2:D166)-1</f>
        <v/>
      </c>
    </row>
    <row r="167">
      <c r="A167" s="15">
        <f>'Daily_Cash'!A167</f>
        <v/>
      </c>
      <c r="B167" s="13">
        <f>'Daily_Cash'!D167</f>
        <v/>
      </c>
      <c r="C167" s="13">
        <f>D167-B167</f>
        <v/>
      </c>
      <c r="D167" s="13">
        <f>'Daily_Cash'!B167</f>
        <v/>
      </c>
      <c r="E167" s="17">
        <f>D167/D166-1</f>
        <v/>
      </c>
      <c r="F167" s="17">
        <f>D167/D$2-1</f>
        <v/>
      </c>
      <c r="G167" s="17">
        <f>D167/MAX(D$2:D167)-1</f>
        <v/>
      </c>
    </row>
    <row r="168">
      <c r="A168" s="14">
        <f>'Daily_Cash'!A168</f>
        <v/>
      </c>
      <c r="B168" s="10">
        <f>'Daily_Cash'!D168</f>
        <v/>
      </c>
      <c r="C168" s="10">
        <f>D168-B168</f>
        <v/>
      </c>
      <c r="D168" s="10">
        <f>'Daily_Cash'!B168</f>
        <v/>
      </c>
      <c r="E168" s="16">
        <f>D168/D167-1</f>
        <v/>
      </c>
      <c r="F168" s="16">
        <f>D168/D$2-1</f>
        <v/>
      </c>
      <c r="G168" s="16">
        <f>D168/MAX(D$2:D168)-1</f>
        <v/>
      </c>
    </row>
    <row r="169">
      <c r="A169" s="15">
        <f>'Daily_Cash'!A169</f>
        <v/>
      </c>
      <c r="B169" s="13">
        <f>'Daily_Cash'!D169</f>
        <v/>
      </c>
      <c r="C169" s="13">
        <f>D169-B169</f>
        <v/>
      </c>
      <c r="D169" s="13">
        <f>'Daily_Cash'!B169</f>
        <v/>
      </c>
      <c r="E169" s="17">
        <f>D169/D168-1</f>
        <v/>
      </c>
      <c r="F169" s="17">
        <f>D169/D$2-1</f>
        <v/>
      </c>
      <c r="G169" s="17">
        <f>D169/MAX(D$2:D169)-1</f>
        <v/>
      </c>
    </row>
    <row r="170">
      <c r="A170" s="14">
        <f>'Daily_Cash'!A170</f>
        <v/>
      </c>
      <c r="B170" s="10">
        <f>'Daily_Cash'!D170</f>
        <v/>
      </c>
      <c r="C170" s="10">
        <f>D170-B170</f>
        <v/>
      </c>
      <c r="D170" s="10">
        <f>'Daily_Cash'!B170</f>
        <v/>
      </c>
      <c r="E170" s="16">
        <f>D170/D169-1</f>
        <v/>
      </c>
      <c r="F170" s="16">
        <f>D170/D$2-1</f>
        <v/>
      </c>
      <c r="G170" s="16">
        <f>D170/MAX(D$2:D170)-1</f>
        <v/>
      </c>
    </row>
    <row r="171">
      <c r="A171" s="15">
        <f>'Daily_Cash'!A171</f>
        <v/>
      </c>
      <c r="B171" s="13">
        <f>'Daily_Cash'!D171</f>
        <v/>
      </c>
      <c r="C171" s="13">
        <f>D171-B171</f>
        <v/>
      </c>
      <c r="D171" s="13">
        <f>'Daily_Cash'!B171</f>
        <v/>
      </c>
      <c r="E171" s="17">
        <f>D171/D170-1</f>
        <v/>
      </c>
      <c r="F171" s="17">
        <f>D171/D$2-1</f>
        <v/>
      </c>
      <c r="G171" s="17">
        <f>D171/MAX(D$2:D171)-1</f>
        <v/>
      </c>
    </row>
    <row r="172">
      <c r="A172" s="14">
        <f>'Daily_Cash'!A172</f>
        <v/>
      </c>
      <c r="B172" s="10">
        <f>'Daily_Cash'!D172</f>
        <v/>
      </c>
      <c r="C172" s="10">
        <f>D172-B172</f>
        <v/>
      </c>
      <c r="D172" s="10">
        <f>'Daily_Cash'!B172</f>
        <v/>
      </c>
      <c r="E172" s="16">
        <f>D172/D171-1</f>
        <v/>
      </c>
      <c r="F172" s="16">
        <f>D172/D$2-1</f>
        <v/>
      </c>
      <c r="G172" s="16">
        <f>D172/MAX(D$2:D172)-1</f>
        <v/>
      </c>
    </row>
    <row r="173">
      <c r="A173" s="15">
        <f>'Daily_Cash'!A173</f>
        <v/>
      </c>
      <c r="B173" s="13">
        <f>'Daily_Cash'!D173</f>
        <v/>
      </c>
      <c r="C173" s="13">
        <f>D173-B173</f>
        <v/>
      </c>
      <c r="D173" s="13">
        <f>'Daily_Cash'!B173</f>
        <v/>
      </c>
      <c r="E173" s="17">
        <f>D173/D172-1</f>
        <v/>
      </c>
      <c r="F173" s="17">
        <f>D173/D$2-1</f>
        <v/>
      </c>
      <c r="G173" s="17">
        <f>D173/MAX(D$2:D173)-1</f>
        <v/>
      </c>
    </row>
    <row r="174">
      <c r="A174" s="14">
        <f>'Daily_Cash'!A174</f>
        <v/>
      </c>
      <c r="B174" s="10">
        <f>'Daily_Cash'!D174</f>
        <v/>
      </c>
      <c r="C174" s="10">
        <f>D174-B174</f>
        <v/>
      </c>
      <c r="D174" s="10">
        <f>'Daily_Cash'!B174</f>
        <v/>
      </c>
      <c r="E174" s="16">
        <f>D174/D173-1</f>
        <v/>
      </c>
      <c r="F174" s="16">
        <f>D174/D$2-1</f>
        <v/>
      </c>
      <c r="G174" s="16">
        <f>D174/MAX(D$2:D174)-1</f>
        <v/>
      </c>
    </row>
    <row r="175">
      <c r="A175" s="15">
        <f>'Daily_Cash'!A175</f>
        <v/>
      </c>
      <c r="B175" s="13">
        <f>'Daily_Cash'!D175</f>
        <v/>
      </c>
      <c r="C175" s="13">
        <f>D175-B175</f>
        <v/>
      </c>
      <c r="D175" s="13">
        <f>'Daily_Cash'!B175</f>
        <v/>
      </c>
      <c r="E175" s="17">
        <f>D175/D174-1</f>
        <v/>
      </c>
      <c r="F175" s="17">
        <f>D175/D$2-1</f>
        <v/>
      </c>
      <c r="G175" s="17">
        <f>D175/MAX(D$2:D175)-1</f>
        <v/>
      </c>
    </row>
    <row r="176">
      <c r="A176" s="14">
        <f>'Daily_Cash'!A176</f>
        <v/>
      </c>
      <c r="B176" s="10">
        <f>'Daily_Cash'!D176</f>
        <v/>
      </c>
      <c r="C176" s="10">
        <f>D176-B176</f>
        <v/>
      </c>
      <c r="D176" s="10">
        <f>'Daily_Cash'!B176</f>
        <v/>
      </c>
      <c r="E176" s="16">
        <f>D176/D175-1</f>
        <v/>
      </c>
      <c r="F176" s="16">
        <f>D176/D$2-1</f>
        <v/>
      </c>
      <c r="G176" s="16">
        <f>D176/MAX(D$2:D176)-1</f>
        <v/>
      </c>
    </row>
    <row r="177">
      <c r="A177" s="15">
        <f>'Daily_Cash'!A177</f>
        <v/>
      </c>
      <c r="B177" s="13">
        <f>'Daily_Cash'!D177</f>
        <v/>
      </c>
      <c r="C177" s="13">
        <f>D177-B177</f>
        <v/>
      </c>
      <c r="D177" s="13">
        <f>'Daily_Cash'!B177</f>
        <v/>
      </c>
      <c r="E177" s="17">
        <f>D177/D176-1</f>
        <v/>
      </c>
      <c r="F177" s="17">
        <f>D177/D$2-1</f>
        <v/>
      </c>
      <c r="G177" s="17">
        <f>D177/MAX(D$2:D177)-1</f>
        <v/>
      </c>
    </row>
    <row r="178">
      <c r="A178" s="14">
        <f>'Daily_Cash'!A178</f>
        <v/>
      </c>
      <c r="B178" s="10">
        <f>'Daily_Cash'!D178</f>
        <v/>
      </c>
      <c r="C178" s="10">
        <f>D178-B178</f>
        <v/>
      </c>
      <c r="D178" s="10">
        <f>'Daily_Cash'!B178</f>
        <v/>
      </c>
      <c r="E178" s="16">
        <f>D178/D177-1</f>
        <v/>
      </c>
      <c r="F178" s="16">
        <f>D178/D$2-1</f>
        <v/>
      </c>
      <c r="G178" s="16">
        <f>D178/MAX(D$2:D178)-1</f>
        <v/>
      </c>
    </row>
    <row r="179">
      <c r="A179" s="15">
        <f>'Daily_Cash'!A179</f>
        <v/>
      </c>
      <c r="B179" s="13">
        <f>'Daily_Cash'!D179</f>
        <v/>
      </c>
      <c r="C179" s="13">
        <f>D179-B179</f>
        <v/>
      </c>
      <c r="D179" s="13">
        <f>'Daily_Cash'!B179</f>
        <v/>
      </c>
      <c r="E179" s="17">
        <f>D179/D178-1</f>
        <v/>
      </c>
      <c r="F179" s="17">
        <f>D179/D$2-1</f>
        <v/>
      </c>
      <c r="G179" s="17">
        <f>D179/MAX(D$2:D179)-1</f>
        <v/>
      </c>
    </row>
    <row r="180">
      <c r="A180" s="14">
        <f>'Daily_Cash'!A180</f>
        <v/>
      </c>
      <c r="B180" s="10">
        <f>'Daily_Cash'!D180</f>
        <v/>
      </c>
      <c r="C180" s="10">
        <f>D180-B180</f>
        <v/>
      </c>
      <c r="D180" s="10">
        <f>'Daily_Cash'!B180</f>
        <v/>
      </c>
      <c r="E180" s="16">
        <f>D180/D179-1</f>
        <v/>
      </c>
      <c r="F180" s="16">
        <f>D180/D$2-1</f>
        <v/>
      </c>
      <c r="G180" s="16">
        <f>D180/MAX(D$2:D180)-1</f>
        <v/>
      </c>
    </row>
    <row r="181">
      <c r="A181" s="15">
        <f>'Daily_Cash'!A181</f>
        <v/>
      </c>
      <c r="B181" s="13">
        <f>'Daily_Cash'!D181</f>
        <v/>
      </c>
      <c r="C181" s="13">
        <f>D181-B181</f>
        <v/>
      </c>
      <c r="D181" s="13">
        <f>'Daily_Cash'!B181</f>
        <v/>
      </c>
      <c r="E181" s="17">
        <f>D181/D180-1</f>
        <v/>
      </c>
      <c r="F181" s="17">
        <f>D181/D$2-1</f>
        <v/>
      </c>
      <c r="G181" s="17">
        <f>D181/MAX(D$2:D181)-1</f>
        <v/>
      </c>
    </row>
    <row r="182">
      <c r="A182" s="14">
        <f>'Daily_Cash'!A182</f>
        <v/>
      </c>
      <c r="B182" s="10">
        <f>'Daily_Cash'!D182</f>
        <v/>
      </c>
      <c r="C182" s="10">
        <f>D182-B182</f>
        <v/>
      </c>
      <c r="D182" s="10">
        <f>'Daily_Cash'!B182</f>
        <v/>
      </c>
      <c r="E182" s="16">
        <f>D182/D181-1</f>
        <v/>
      </c>
      <c r="F182" s="16">
        <f>D182/D$2-1</f>
        <v/>
      </c>
      <c r="G182" s="16">
        <f>D182/MAX(D$2:D182)-1</f>
        <v/>
      </c>
    </row>
    <row r="183">
      <c r="A183" s="15">
        <f>'Daily_Cash'!A183</f>
        <v/>
      </c>
      <c r="B183" s="13">
        <f>'Daily_Cash'!D183</f>
        <v/>
      </c>
      <c r="C183" s="13">
        <f>D183-B183</f>
        <v/>
      </c>
      <c r="D183" s="13">
        <f>'Daily_Cash'!B183</f>
        <v/>
      </c>
      <c r="E183" s="17">
        <f>D183/D182-1</f>
        <v/>
      </c>
      <c r="F183" s="17">
        <f>D183/D$2-1</f>
        <v/>
      </c>
      <c r="G183" s="17">
        <f>D183/MAX(D$2:D183)-1</f>
        <v/>
      </c>
    </row>
    <row r="184">
      <c r="A184" s="14">
        <f>'Daily_Cash'!A184</f>
        <v/>
      </c>
      <c r="B184" s="10">
        <f>'Daily_Cash'!D184</f>
        <v/>
      </c>
      <c r="C184" s="10">
        <f>D184-B184</f>
        <v/>
      </c>
      <c r="D184" s="10">
        <f>'Daily_Cash'!B184</f>
        <v/>
      </c>
      <c r="E184" s="16">
        <f>D184/D183-1</f>
        <v/>
      </c>
      <c r="F184" s="16">
        <f>D184/D$2-1</f>
        <v/>
      </c>
      <c r="G184" s="16">
        <f>D184/MAX(D$2:D184)-1</f>
        <v/>
      </c>
    </row>
    <row r="185">
      <c r="A185" s="15">
        <f>'Daily_Cash'!A185</f>
        <v/>
      </c>
      <c r="B185" s="13">
        <f>'Daily_Cash'!D185</f>
        <v/>
      </c>
      <c r="C185" s="13">
        <f>D185-B185</f>
        <v/>
      </c>
      <c r="D185" s="13">
        <f>'Daily_Cash'!B185</f>
        <v/>
      </c>
      <c r="E185" s="17">
        <f>D185/D184-1</f>
        <v/>
      </c>
      <c r="F185" s="17">
        <f>D185/D$2-1</f>
        <v/>
      </c>
      <c r="G185" s="17">
        <f>D185/MAX(D$2:D185)-1</f>
        <v/>
      </c>
    </row>
    <row r="186">
      <c r="A186" s="14">
        <f>'Daily_Cash'!A186</f>
        <v/>
      </c>
      <c r="B186" s="10">
        <f>'Daily_Cash'!D186</f>
        <v/>
      </c>
      <c r="C186" s="10">
        <f>D186-B186</f>
        <v/>
      </c>
      <c r="D186" s="10">
        <f>'Daily_Cash'!B186</f>
        <v/>
      </c>
      <c r="E186" s="16">
        <f>D186/D185-1</f>
        <v/>
      </c>
      <c r="F186" s="16">
        <f>D186/D$2-1</f>
        <v/>
      </c>
      <c r="G186" s="16">
        <f>D186/MAX(D$2:D186)-1</f>
        <v/>
      </c>
    </row>
    <row r="187">
      <c r="A187" s="15">
        <f>'Daily_Cash'!A187</f>
        <v/>
      </c>
      <c r="B187" s="13">
        <f>'Daily_Cash'!D187</f>
        <v/>
      </c>
      <c r="C187" s="13">
        <f>D187-B187</f>
        <v/>
      </c>
      <c r="D187" s="13">
        <f>'Daily_Cash'!B187</f>
        <v/>
      </c>
      <c r="E187" s="17">
        <f>D187/D186-1</f>
        <v/>
      </c>
      <c r="F187" s="17">
        <f>D187/D$2-1</f>
        <v/>
      </c>
      <c r="G187" s="17">
        <f>D187/MAX(D$2:D187)-1</f>
        <v/>
      </c>
    </row>
    <row r="188">
      <c r="A188" s="14">
        <f>'Daily_Cash'!A188</f>
        <v/>
      </c>
      <c r="B188" s="10">
        <f>'Daily_Cash'!D188</f>
        <v/>
      </c>
      <c r="C188" s="10">
        <f>D188-B188</f>
        <v/>
      </c>
      <c r="D188" s="10">
        <f>'Daily_Cash'!B188</f>
        <v/>
      </c>
      <c r="E188" s="16">
        <f>D188/D187-1</f>
        <v/>
      </c>
      <c r="F188" s="16">
        <f>D188/D$2-1</f>
        <v/>
      </c>
      <c r="G188" s="16">
        <f>D188/MAX(D$2:D188)-1</f>
        <v/>
      </c>
    </row>
    <row r="189">
      <c r="A189" s="15">
        <f>'Daily_Cash'!A189</f>
        <v/>
      </c>
      <c r="B189" s="13">
        <f>'Daily_Cash'!D189</f>
        <v/>
      </c>
      <c r="C189" s="13">
        <f>D189-B189</f>
        <v/>
      </c>
      <c r="D189" s="13">
        <f>'Daily_Cash'!B189</f>
        <v/>
      </c>
      <c r="E189" s="17">
        <f>D189/D188-1</f>
        <v/>
      </c>
      <c r="F189" s="17">
        <f>D189/D$2-1</f>
        <v/>
      </c>
      <c r="G189" s="17">
        <f>D189/MAX(D$2:D189)-1</f>
        <v/>
      </c>
    </row>
    <row r="190">
      <c r="A190" s="14">
        <f>'Daily_Cash'!A190</f>
        <v/>
      </c>
      <c r="B190" s="10">
        <f>'Daily_Cash'!D190</f>
        <v/>
      </c>
      <c r="C190" s="10">
        <f>D190-B190</f>
        <v/>
      </c>
      <c r="D190" s="10">
        <f>'Daily_Cash'!B190</f>
        <v/>
      </c>
      <c r="E190" s="16">
        <f>D190/D189-1</f>
        <v/>
      </c>
      <c r="F190" s="16">
        <f>D190/D$2-1</f>
        <v/>
      </c>
      <c r="G190" s="16">
        <f>D190/MAX(D$2:D190)-1</f>
        <v/>
      </c>
    </row>
    <row r="191">
      <c r="A191" s="15">
        <f>'Daily_Cash'!A191</f>
        <v/>
      </c>
      <c r="B191" s="13">
        <f>'Daily_Cash'!D191</f>
        <v/>
      </c>
      <c r="C191" s="13">
        <f>D191-B191</f>
        <v/>
      </c>
      <c r="D191" s="13">
        <f>'Daily_Cash'!B191</f>
        <v/>
      </c>
      <c r="E191" s="17">
        <f>D191/D190-1</f>
        <v/>
      </c>
      <c r="F191" s="17">
        <f>D191/D$2-1</f>
        <v/>
      </c>
      <c r="G191" s="17">
        <f>D191/MAX(D$2:D191)-1</f>
        <v/>
      </c>
    </row>
    <row r="192">
      <c r="A192" s="14">
        <f>'Daily_Cash'!A192</f>
        <v/>
      </c>
      <c r="B192" s="10">
        <f>'Daily_Cash'!D192</f>
        <v/>
      </c>
      <c r="C192" s="10">
        <f>D192-B192</f>
        <v/>
      </c>
      <c r="D192" s="10">
        <f>'Daily_Cash'!B192</f>
        <v/>
      </c>
      <c r="E192" s="16">
        <f>D192/D191-1</f>
        <v/>
      </c>
      <c r="F192" s="16">
        <f>D192/D$2-1</f>
        <v/>
      </c>
      <c r="G192" s="16">
        <f>D192/MAX(D$2:D192)-1</f>
        <v/>
      </c>
    </row>
    <row r="193">
      <c r="A193" s="15">
        <f>'Daily_Cash'!A193</f>
        <v/>
      </c>
      <c r="B193" s="13">
        <f>'Daily_Cash'!D193</f>
        <v/>
      </c>
      <c r="C193" s="13">
        <f>D193-B193</f>
        <v/>
      </c>
      <c r="D193" s="13">
        <f>'Daily_Cash'!B193</f>
        <v/>
      </c>
      <c r="E193" s="17">
        <f>D193/D192-1</f>
        <v/>
      </c>
      <c r="F193" s="17">
        <f>D193/D$2-1</f>
        <v/>
      </c>
      <c r="G193" s="17">
        <f>D193/MAX(D$2:D193)-1</f>
        <v/>
      </c>
    </row>
    <row r="194">
      <c r="A194" s="14">
        <f>'Daily_Cash'!A194</f>
        <v/>
      </c>
      <c r="B194" s="10">
        <f>'Daily_Cash'!D194</f>
        <v/>
      </c>
      <c r="C194" s="10">
        <f>D194-B194</f>
        <v/>
      </c>
      <c r="D194" s="10">
        <f>'Daily_Cash'!B194</f>
        <v/>
      </c>
      <c r="E194" s="16">
        <f>D194/D193-1</f>
        <v/>
      </c>
      <c r="F194" s="16">
        <f>D194/D$2-1</f>
        <v/>
      </c>
      <c r="G194" s="16">
        <f>D194/MAX(D$2:D194)-1</f>
        <v/>
      </c>
    </row>
    <row r="195">
      <c r="A195" s="15">
        <f>'Daily_Cash'!A195</f>
        <v/>
      </c>
      <c r="B195" s="13">
        <f>'Daily_Cash'!D195</f>
        <v/>
      </c>
      <c r="C195" s="13">
        <f>D195-B195</f>
        <v/>
      </c>
      <c r="D195" s="13">
        <f>'Daily_Cash'!B195</f>
        <v/>
      </c>
      <c r="E195" s="17">
        <f>D195/D194-1</f>
        <v/>
      </c>
      <c r="F195" s="17">
        <f>D195/D$2-1</f>
        <v/>
      </c>
      <c r="G195" s="17">
        <f>D195/MAX(D$2:D195)-1</f>
        <v/>
      </c>
    </row>
    <row r="196">
      <c r="A196" s="14">
        <f>'Daily_Cash'!A196</f>
        <v/>
      </c>
      <c r="B196" s="10">
        <f>'Daily_Cash'!D196</f>
        <v/>
      </c>
      <c r="C196" s="10">
        <f>D196-B196</f>
        <v/>
      </c>
      <c r="D196" s="10">
        <f>'Daily_Cash'!B196</f>
        <v/>
      </c>
      <c r="E196" s="16">
        <f>D196/D195-1</f>
        <v/>
      </c>
      <c r="F196" s="16">
        <f>D196/D$2-1</f>
        <v/>
      </c>
      <c r="G196" s="16">
        <f>D196/MAX(D$2:D196)-1</f>
        <v/>
      </c>
    </row>
    <row r="197">
      <c r="A197" s="15">
        <f>'Daily_Cash'!A197</f>
        <v/>
      </c>
      <c r="B197" s="13">
        <f>'Daily_Cash'!D197</f>
        <v/>
      </c>
      <c r="C197" s="13">
        <f>D197-B197</f>
        <v/>
      </c>
      <c r="D197" s="13">
        <f>'Daily_Cash'!B197</f>
        <v/>
      </c>
      <c r="E197" s="17">
        <f>D197/D196-1</f>
        <v/>
      </c>
      <c r="F197" s="17">
        <f>D197/D$2-1</f>
        <v/>
      </c>
      <c r="G197" s="17">
        <f>D197/MAX(D$2:D197)-1</f>
        <v/>
      </c>
    </row>
    <row r="198">
      <c r="A198" s="14">
        <f>'Daily_Cash'!A198</f>
        <v/>
      </c>
      <c r="B198" s="10">
        <f>'Daily_Cash'!D198</f>
        <v/>
      </c>
      <c r="C198" s="10">
        <f>D198-B198</f>
        <v/>
      </c>
      <c r="D198" s="10">
        <f>'Daily_Cash'!B198</f>
        <v/>
      </c>
      <c r="E198" s="16">
        <f>D198/D197-1</f>
        <v/>
      </c>
      <c r="F198" s="16">
        <f>D198/D$2-1</f>
        <v/>
      </c>
      <c r="G198" s="16">
        <f>D198/MAX(D$2:D198)-1</f>
        <v/>
      </c>
    </row>
    <row r="199">
      <c r="A199" s="15">
        <f>'Daily_Cash'!A199</f>
        <v/>
      </c>
      <c r="B199" s="13">
        <f>'Daily_Cash'!D199</f>
        <v/>
      </c>
      <c r="C199" s="13">
        <f>D199-B199</f>
        <v/>
      </c>
      <c r="D199" s="13">
        <f>'Daily_Cash'!B199</f>
        <v/>
      </c>
      <c r="E199" s="17">
        <f>D199/D198-1</f>
        <v/>
      </c>
      <c r="F199" s="17">
        <f>D199/D$2-1</f>
        <v/>
      </c>
      <c r="G199" s="17">
        <f>D199/MAX(D$2:D199)-1</f>
        <v/>
      </c>
    </row>
    <row r="200">
      <c r="A200" s="14">
        <f>'Daily_Cash'!A200</f>
        <v/>
      </c>
      <c r="B200" s="10">
        <f>'Daily_Cash'!D200</f>
        <v/>
      </c>
      <c r="C200" s="10">
        <f>D200-B200</f>
        <v/>
      </c>
      <c r="D200" s="10">
        <f>'Daily_Cash'!B200</f>
        <v/>
      </c>
      <c r="E200" s="16">
        <f>D200/D199-1</f>
        <v/>
      </c>
      <c r="F200" s="16">
        <f>D200/D$2-1</f>
        <v/>
      </c>
      <c r="G200" s="16">
        <f>D200/MAX(D$2:D200)-1</f>
        <v/>
      </c>
    </row>
    <row r="201">
      <c r="A201" s="15">
        <f>'Daily_Cash'!A201</f>
        <v/>
      </c>
      <c r="B201" s="13">
        <f>'Daily_Cash'!D201</f>
        <v/>
      </c>
      <c r="C201" s="13">
        <f>D201-B201</f>
        <v/>
      </c>
      <c r="D201" s="13">
        <f>'Daily_Cash'!B201</f>
        <v/>
      </c>
      <c r="E201" s="17">
        <f>D201/D200-1</f>
        <v/>
      </c>
      <c r="F201" s="17">
        <f>D201/D$2-1</f>
        <v/>
      </c>
      <c r="G201" s="17">
        <f>D201/MAX(D$2:D201)-1</f>
        <v/>
      </c>
    </row>
    <row r="202">
      <c r="A202" s="14">
        <f>'Daily_Cash'!A202</f>
        <v/>
      </c>
      <c r="B202" s="10">
        <f>'Daily_Cash'!D202</f>
        <v/>
      </c>
      <c r="C202" s="10">
        <f>D202-B202</f>
        <v/>
      </c>
      <c r="D202" s="10">
        <f>'Daily_Cash'!B202</f>
        <v/>
      </c>
      <c r="E202" s="16">
        <f>D202/D201-1</f>
        <v/>
      </c>
      <c r="F202" s="16">
        <f>D202/D$2-1</f>
        <v/>
      </c>
      <c r="G202" s="16">
        <f>D202/MAX(D$2:D202)-1</f>
        <v/>
      </c>
    </row>
    <row r="203">
      <c r="A203" s="15">
        <f>'Daily_Cash'!A203</f>
        <v/>
      </c>
      <c r="B203" s="13">
        <f>'Daily_Cash'!D203</f>
        <v/>
      </c>
      <c r="C203" s="13">
        <f>D203-B203</f>
        <v/>
      </c>
      <c r="D203" s="13">
        <f>'Daily_Cash'!B203</f>
        <v/>
      </c>
      <c r="E203" s="17">
        <f>D203/D202-1</f>
        <v/>
      </c>
      <c r="F203" s="17">
        <f>D203/D$2-1</f>
        <v/>
      </c>
      <c r="G203" s="17">
        <f>D203/MAX(D$2:D203)-1</f>
        <v/>
      </c>
    </row>
    <row r="204">
      <c r="A204" s="14">
        <f>'Daily_Cash'!A204</f>
        <v/>
      </c>
      <c r="B204" s="10">
        <f>'Daily_Cash'!D204</f>
        <v/>
      </c>
      <c r="C204" s="10">
        <f>D204-B204</f>
        <v/>
      </c>
      <c r="D204" s="10">
        <f>'Daily_Cash'!B204</f>
        <v/>
      </c>
      <c r="E204" s="16">
        <f>D204/D203-1</f>
        <v/>
      </c>
      <c r="F204" s="16">
        <f>D204/D$2-1</f>
        <v/>
      </c>
      <c r="G204" s="16">
        <f>D204/MAX(D$2:D204)-1</f>
        <v/>
      </c>
    </row>
    <row r="205">
      <c r="A205" s="15">
        <f>'Daily_Cash'!A205</f>
        <v/>
      </c>
      <c r="B205" s="13">
        <f>'Daily_Cash'!D205</f>
        <v/>
      </c>
      <c r="C205" s="13">
        <f>D205-B205</f>
        <v/>
      </c>
      <c r="D205" s="13">
        <f>'Daily_Cash'!B205</f>
        <v/>
      </c>
      <c r="E205" s="17">
        <f>D205/D204-1</f>
        <v/>
      </c>
      <c r="F205" s="17">
        <f>D205/D$2-1</f>
        <v/>
      </c>
      <c r="G205" s="17">
        <f>D205/MAX(D$2:D205)-1</f>
        <v/>
      </c>
    </row>
    <row r="206">
      <c r="A206" s="14">
        <f>'Daily_Cash'!A206</f>
        <v/>
      </c>
      <c r="B206" s="10">
        <f>'Daily_Cash'!D206</f>
        <v/>
      </c>
      <c r="C206" s="10">
        <f>D206-B206</f>
        <v/>
      </c>
      <c r="D206" s="10">
        <f>'Daily_Cash'!B206</f>
        <v/>
      </c>
      <c r="E206" s="16">
        <f>D206/D205-1</f>
        <v/>
      </c>
      <c r="F206" s="16">
        <f>D206/D$2-1</f>
        <v/>
      </c>
      <c r="G206" s="16">
        <f>D206/MAX(D$2:D206)-1</f>
        <v/>
      </c>
    </row>
    <row r="207">
      <c r="A207" s="15">
        <f>'Daily_Cash'!A207</f>
        <v/>
      </c>
      <c r="B207" s="13">
        <f>'Daily_Cash'!D207</f>
        <v/>
      </c>
      <c r="C207" s="13">
        <f>D207-B207</f>
        <v/>
      </c>
      <c r="D207" s="13">
        <f>'Daily_Cash'!B207</f>
        <v/>
      </c>
      <c r="E207" s="17">
        <f>D207/D206-1</f>
        <v/>
      </c>
      <c r="F207" s="17">
        <f>D207/D$2-1</f>
        <v/>
      </c>
      <c r="G207" s="17">
        <f>D207/MAX(D$2:D207)-1</f>
        <v/>
      </c>
    </row>
    <row r="208">
      <c r="A208" s="14">
        <f>'Daily_Cash'!A208</f>
        <v/>
      </c>
      <c r="B208" s="10">
        <f>'Daily_Cash'!D208</f>
        <v/>
      </c>
      <c r="C208" s="10">
        <f>D208-B208</f>
        <v/>
      </c>
      <c r="D208" s="10">
        <f>'Daily_Cash'!B208</f>
        <v/>
      </c>
      <c r="E208" s="16">
        <f>D208/D207-1</f>
        <v/>
      </c>
      <c r="F208" s="16">
        <f>D208/D$2-1</f>
        <v/>
      </c>
      <c r="G208" s="16">
        <f>D208/MAX(D$2:D208)-1</f>
        <v/>
      </c>
    </row>
    <row r="209">
      <c r="A209" s="15">
        <f>'Daily_Cash'!A209</f>
        <v/>
      </c>
      <c r="B209" s="13">
        <f>'Daily_Cash'!D209</f>
        <v/>
      </c>
      <c r="C209" s="13">
        <f>D209-B209</f>
        <v/>
      </c>
      <c r="D209" s="13">
        <f>'Daily_Cash'!B209</f>
        <v/>
      </c>
      <c r="E209" s="17">
        <f>D209/D208-1</f>
        <v/>
      </c>
      <c r="F209" s="17">
        <f>D209/D$2-1</f>
        <v/>
      </c>
      <c r="G209" s="17">
        <f>D209/MAX(D$2:D209)-1</f>
        <v/>
      </c>
    </row>
    <row r="210">
      <c r="A210" s="14">
        <f>'Daily_Cash'!A210</f>
        <v/>
      </c>
      <c r="B210" s="10">
        <f>'Daily_Cash'!D210</f>
        <v/>
      </c>
      <c r="C210" s="10">
        <f>D210-B210</f>
        <v/>
      </c>
      <c r="D210" s="10">
        <f>'Daily_Cash'!B210</f>
        <v/>
      </c>
      <c r="E210" s="16">
        <f>D210/D209-1</f>
        <v/>
      </c>
      <c r="F210" s="16">
        <f>D210/D$2-1</f>
        <v/>
      </c>
      <c r="G210" s="16">
        <f>D210/MAX(D$2:D210)-1</f>
        <v/>
      </c>
    </row>
    <row r="211">
      <c r="A211" s="15">
        <f>'Daily_Cash'!A211</f>
        <v/>
      </c>
      <c r="B211" s="13">
        <f>'Daily_Cash'!D211</f>
        <v/>
      </c>
      <c r="C211" s="13">
        <f>D211-B211</f>
        <v/>
      </c>
      <c r="D211" s="13">
        <f>'Daily_Cash'!B211</f>
        <v/>
      </c>
      <c r="E211" s="17">
        <f>D211/D210-1</f>
        <v/>
      </c>
      <c r="F211" s="17">
        <f>D211/D$2-1</f>
        <v/>
      </c>
      <c r="G211" s="17">
        <f>D211/MAX(D$2:D211)-1</f>
        <v/>
      </c>
    </row>
    <row r="212">
      <c r="A212" s="14">
        <f>'Daily_Cash'!A212</f>
        <v/>
      </c>
      <c r="B212" s="10">
        <f>'Daily_Cash'!D212</f>
        <v/>
      </c>
      <c r="C212" s="10">
        <f>D212-B212</f>
        <v/>
      </c>
      <c r="D212" s="10">
        <f>'Daily_Cash'!B212</f>
        <v/>
      </c>
      <c r="E212" s="16">
        <f>D212/D211-1</f>
        <v/>
      </c>
      <c r="F212" s="16">
        <f>D212/D$2-1</f>
        <v/>
      </c>
      <c r="G212" s="16">
        <f>D212/MAX(D$2:D212)-1</f>
        <v/>
      </c>
    </row>
    <row r="213">
      <c r="A213" s="15">
        <f>'Daily_Cash'!A213</f>
        <v/>
      </c>
      <c r="B213" s="13">
        <f>'Daily_Cash'!D213</f>
        <v/>
      </c>
      <c r="C213" s="13">
        <f>D213-B213</f>
        <v/>
      </c>
      <c r="D213" s="13">
        <f>'Daily_Cash'!B213</f>
        <v/>
      </c>
      <c r="E213" s="17">
        <f>D213/D212-1</f>
        <v/>
      </c>
      <c r="F213" s="17">
        <f>D213/D$2-1</f>
        <v/>
      </c>
      <c r="G213" s="17">
        <f>D213/MAX(D$2:D213)-1</f>
        <v/>
      </c>
    </row>
    <row r="214">
      <c r="A214" s="14">
        <f>'Daily_Cash'!A214</f>
        <v/>
      </c>
      <c r="B214" s="10">
        <f>'Daily_Cash'!D214</f>
        <v/>
      </c>
      <c r="C214" s="10">
        <f>D214-B214</f>
        <v/>
      </c>
      <c r="D214" s="10">
        <f>'Daily_Cash'!B214</f>
        <v/>
      </c>
      <c r="E214" s="16">
        <f>D214/D213-1</f>
        <v/>
      </c>
      <c r="F214" s="16">
        <f>D214/D$2-1</f>
        <v/>
      </c>
      <c r="G214" s="16">
        <f>D214/MAX(D$2:D214)-1</f>
        <v/>
      </c>
    </row>
    <row r="215">
      <c r="A215" s="15">
        <f>'Daily_Cash'!A215</f>
        <v/>
      </c>
      <c r="B215" s="13">
        <f>'Daily_Cash'!D215</f>
        <v/>
      </c>
      <c r="C215" s="13">
        <f>D215-B215</f>
        <v/>
      </c>
      <c r="D215" s="13">
        <f>'Daily_Cash'!B215</f>
        <v/>
      </c>
      <c r="E215" s="17">
        <f>D215/D214-1</f>
        <v/>
      </c>
      <c r="F215" s="17">
        <f>D215/D$2-1</f>
        <v/>
      </c>
      <c r="G215" s="17">
        <f>D215/MAX(D$2:D215)-1</f>
        <v/>
      </c>
    </row>
    <row r="216">
      <c r="A216" s="14">
        <f>'Daily_Cash'!A216</f>
        <v/>
      </c>
      <c r="B216" s="10">
        <f>'Daily_Cash'!D216</f>
        <v/>
      </c>
      <c r="C216" s="10">
        <f>D216-B216</f>
        <v/>
      </c>
      <c r="D216" s="10">
        <f>'Daily_Cash'!B216</f>
        <v/>
      </c>
      <c r="E216" s="16">
        <f>D216/D215-1</f>
        <v/>
      </c>
      <c r="F216" s="16">
        <f>D216/D$2-1</f>
        <v/>
      </c>
      <c r="G216" s="16">
        <f>D216/MAX(D$2:D216)-1</f>
        <v/>
      </c>
    </row>
    <row r="217">
      <c r="A217" s="15">
        <f>'Daily_Cash'!A217</f>
        <v/>
      </c>
      <c r="B217" s="13">
        <f>'Daily_Cash'!D217</f>
        <v/>
      </c>
      <c r="C217" s="13">
        <f>D217-B217</f>
        <v/>
      </c>
      <c r="D217" s="13">
        <f>'Daily_Cash'!B217</f>
        <v/>
      </c>
      <c r="E217" s="17">
        <f>D217/D216-1</f>
        <v/>
      </c>
      <c r="F217" s="17">
        <f>D217/D$2-1</f>
        <v/>
      </c>
      <c r="G217" s="17">
        <f>D217/MAX(D$2:D217)-1</f>
        <v/>
      </c>
    </row>
    <row r="218">
      <c r="A218" s="14">
        <f>'Daily_Cash'!A218</f>
        <v/>
      </c>
      <c r="B218" s="10">
        <f>'Daily_Cash'!D218</f>
        <v/>
      </c>
      <c r="C218" s="10">
        <f>D218-B218</f>
        <v/>
      </c>
      <c r="D218" s="10">
        <f>'Daily_Cash'!B218</f>
        <v/>
      </c>
      <c r="E218" s="16">
        <f>D218/D217-1</f>
        <v/>
      </c>
      <c r="F218" s="16">
        <f>D218/D$2-1</f>
        <v/>
      </c>
      <c r="G218" s="16">
        <f>D218/MAX(D$2:D218)-1</f>
        <v/>
      </c>
    </row>
    <row r="219">
      <c r="A219" s="15">
        <f>'Daily_Cash'!A219</f>
        <v/>
      </c>
      <c r="B219" s="13">
        <f>'Daily_Cash'!D219</f>
        <v/>
      </c>
      <c r="C219" s="13">
        <f>D219-B219</f>
        <v/>
      </c>
      <c r="D219" s="13">
        <f>'Daily_Cash'!B219</f>
        <v/>
      </c>
      <c r="E219" s="17">
        <f>D219/D218-1</f>
        <v/>
      </c>
      <c r="F219" s="17">
        <f>D219/D$2-1</f>
        <v/>
      </c>
      <c r="G219" s="17">
        <f>D219/MAX(D$2:D219)-1</f>
        <v/>
      </c>
    </row>
    <row r="220">
      <c r="A220" s="14">
        <f>'Daily_Cash'!A220</f>
        <v/>
      </c>
      <c r="B220" s="10">
        <f>'Daily_Cash'!D220</f>
        <v/>
      </c>
      <c r="C220" s="10">
        <f>D220-B220</f>
        <v/>
      </c>
      <c r="D220" s="10">
        <f>'Daily_Cash'!B220</f>
        <v/>
      </c>
      <c r="E220" s="16">
        <f>D220/D219-1</f>
        <v/>
      </c>
      <c r="F220" s="16">
        <f>D220/D$2-1</f>
        <v/>
      </c>
      <c r="G220" s="16">
        <f>D220/MAX(D$2:D220)-1</f>
        <v/>
      </c>
    </row>
    <row r="221">
      <c r="A221" s="15">
        <f>'Daily_Cash'!A221</f>
        <v/>
      </c>
      <c r="B221" s="13">
        <f>'Daily_Cash'!D221</f>
        <v/>
      </c>
      <c r="C221" s="13">
        <f>D221-B221</f>
        <v/>
      </c>
      <c r="D221" s="13">
        <f>'Daily_Cash'!B221</f>
        <v/>
      </c>
      <c r="E221" s="17">
        <f>D221/D220-1</f>
        <v/>
      </c>
      <c r="F221" s="17">
        <f>D221/D$2-1</f>
        <v/>
      </c>
      <c r="G221" s="17">
        <f>D221/MAX(D$2:D221)-1</f>
        <v/>
      </c>
    </row>
    <row r="222">
      <c r="A222" s="14">
        <f>'Daily_Cash'!A222</f>
        <v/>
      </c>
      <c r="B222" s="10">
        <f>'Daily_Cash'!D222</f>
        <v/>
      </c>
      <c r="C222" s="10">
        <f>D222-B222</f>
        <v/>
      </c>
      <c r="D222" s="10">
        <f>'Daily_Cash'!B222</f>
        <v/>
      </c>
      <c r="E222" s="16">
        <f>D222/D221-1</f>
        <v/>
      </c>
      <c r="F222" s="16">
        <f>D222/D$2-1</f>
        <v/>
      </c>
      <c r="G222" s="16">
        <f>D222/MAX(D$2:D222)-1</f>
        <v/>
      </c>
    </row>
    <row r="223">
      <c r="A223" s="15">
        <f>'Daily_Cash'!A223</f>
        <v/>
      </c>
      <c r="B223" s="13">
        <f>'Daily_Cash'!D223</f>
        <v/>
      </c>
      <c r="C223" s="13">
        <f>D223-B223</f>
        <v/>
      </c>
      <c r="D223" s="13">
        <f>'Daily_Cash'!B223</f>
        <v/>
      </c>
      <c r="E223" s="17">
        <f>D223/D222-1</f>
        <v/>
      </c>
      <c r="F223" s="17">
        <f>D223/D$2-1</f>
        <v/>
      </c>
      <c r="G223" s="17">
        <f>D223/MAX(D$2:D223)-1</f>
        <v/>
      </c>
    </row>
    <row r="224">
      <c r="A224" s="14">
        <f>'Daily_Cash'!A224</f>
        <v/>
      </c>
      <c r="B224" s="10">
        <f>'Daily_Cash'!D224</f>
        <v/>
      </c>
      <c r="C224" s="10">
        <f>D224-B224</f>
        <v/>
      </c>
      <c r="D224" s="10">
        <f>'Daily_Cash'!B224</f>
        <v/>
      </c>
      <c r="E224" s="16">
        <f>D224/D223-1</f>
        <v/>
      </c>
      <c r="F224" s="16">
        <f>D224/D$2-1</f>
        <v/>
      </c>
      <c r="G224" s="16">
        <f>D224/MAX(D$2:D224)-1</f>
        <v/>
      </c>
    </row>
    <row r="225">
      <c r="A225" s="15">
        <f>'Daily_Cash'!A225</f>
        <v/>
      </c>
      <c r="B225" s="13">
        <f>'Daily_Cash'!D225</f>
        <v/>
      </c>
      <c r="C225" s="13">
        <f>D225-B225</f>
        <v/>
      </c>
      <c r="D225" s="13">
        <f>'Daily_Cash'!B225</f>
        <v/>
      </c>
      <c r="E225" s="17">
        <f>D225/D224-1</f>
        <v/>
      </c>
      <c r="F225" s="17">
        <f>D225/D$2-1</f>
        <v/>
      </c>
      <c r="G225" s="17">
        <f>D225/MAX(D$2:D225)-1</f>
        <v/>
      </c>
    </row>
    <row r="226">
      <c r="A226" s="14">
        <f>'Daily_Cash'!A226</f>
        <v/>
      </c>
      <c r="B226" s="10">
        <f>'Daily_Cash'!D226</f>
        <v/>
      </c>
      <c r="C226" s="10">
        <f>D226-B226</f>
        <v/>
      </c>
      <c r="D226" s="10">
        <f>'Daily_Cash'!B226</f>
        <v/>
      </c>
      <c r="E226" s="16">
        <f>D226/D225-1</f>
        <v/>
      </c>
      <c r="F226" s="16">
        <f>D226/D$2-1</f>
        <v/>
      </c>
      <c r="G226" s="16">
        <f>D226/MAX(D$2:D226)-1</f>
        <v/>
      </c>
    </row>
    <row r="227">
      <c r="A227" s="15">
        <f>'Daily_Cash'!A227</f>
        <v/>
      </c>
      <c r="B227" s="13">
        <f>'Daily_Cash'!D227</f>
        <v/>
      </c>
      <c r="C227" s="13">
        <f>D227-B227</f>
        <v/>
      </c>
      <c r="D227" s="13">
        <f>'Daily_Cash'!B227</f>
        <v/>
      </c>
      <c r="E227" s="17">
        <f>D227/D226-1</f>
        <v/>
      </c>
      <c r="F227" s="17">
        <f>D227/D$2-1</f>
        <v/>
      </c>
      <c r="G227" s="17">
        <f>D227/MAX(D$2:D227)-1</f>
        <v/>
      </c>
    </row>
    <row r="228">
      <c r="A228" s="14">
        <f>'Daily_Cash'!A228</f>
        <v/>
      </c>
      <c r="B228" s="10">
        <f>'Daily_Cash'!D228</f>
        <v/>
      </c>
      <c r="C228" s="10">
        <f>D228-B228</f>
        <v/>
      </c>
      <c r="D228" s="10">
        <f>'Daily_Cash'!B228</f>
        <v/>
      </c>
      <c r="E228" s="16">
        <f>D228/D227-1</f>
        <v/>
      </c>
      <c r="F228" s="16">
        <f>D228/D$2-1</f>
        <v/>
      </c>
      <c r="G228" s="16">
        <f>D228/MAX(D$2:D228)-1</f>
        <v/>
      </c>
    </row>
    <row r="229">
      <c r="A229" s="15">
        <f>'Daily_Cash'!A229</f>
        <v/>
      </c>
      <c r="B229" s="13">
        <f>'Daily_Cash'!D229</f>
        <v/>
      </c>
      <c r="C229" s="13">
        <f>D229-B229</f>
        <v/>
      </c>
      <c r="D229" s="13">
        <f>'Daily_Cash'!B229</f>
        <v/>
      </c>
      <c r="E229" s="17">
        <f>D229/D228-1</f>
        <v/>
      </c>
      <c r="F229" s="17">
        <f>D229/D$2-1</f>
        <v/>
      </c>
      <c r="G229" s="17">
        <f>D229/MAX(D$2:D229)-1</f>
        <v/>
      </c>
    </row>
    <row r="230">
      <c r="A230" s="14">
        <f>'Daily_Cash'!A230</f>
        <v/>
      </c>
      <c r="B230" s="10">
        <f>'Daily_Cash'!D230</f>
        <v/>
      </c>
      <c r="C230" s="10">
        <f>D230-B230</f>
        <v/>
      </c>
      <c r="D230" s="10">
        <f>'Daily_Cash'!B230</f>
        <v/>
      </c>
      <c r="E230" s="16">
        <f>D230/D229-1</f>
        <v/>
      </c>
      <c r="F230" s="16">
        <f>D230/D$2-1</f>
        <v/>
      </c>
      <c r="G230" s="16">
        <f>D230/MAX(D$2:D230)-1</f>
        <v/>
      </c>
    </row>
    <row r="231">
      <c r="A231" s="15">
        <f>'Daily_Cash'!A231</f>
        <v/>
      </c>
      <c r="B231" s="13">
        <f>'Daily_Cash'!D231</f>
        <v/>
      </c>
      <c r="C231" s="13">
        <f>D231-B231</f>
        <v/>
      </c>
      <c r="D231" s="13">
        <f>'Daily_Cash'!B231</f>
        <v/>
      </c>
      <c r="E231" s="17">
        <f>D231/D230-1</f>
        <v/>
      </c>
      <c r="F231" s="17">
        <f>D231/D$2-1</f>
        <v/>
      </c>
      <c r="G231" s="17">
        <f>D231/MAX(D$2:D231)-1</f>
        <v/>
      </c>
    </row>
    <row r="232">
      <c r="A232" s="14">
        <f>'Daily_Cash'!A232</f>
        <v/>
      </c>
      <c r="B232" s="10">
        <f>'Daily_Cash'!D232</f>
        <v/>
      </c>
      <c r="C232" s="10">
        <f>D232-B232</f>
        <v/>
      </c>
      <c r="D232" s="10">
        <f>'Daily_Cash'!B232</f>
        <v/>
      </c>
      <c r="E232" s="16">
        <f>D232/D231-1</f>
        <v/>
      </c>
      <c r="F232" s="16">
        <f>D232/D$2-1</f>
        <v/>
      </c>
      <c r="G232" s="16">
        <f>D232/MAX(D$2:D232)-1</f>
        <v/>
      </c>
    </row>
    <row r="233">
      <c r="A233" s="15">
        <f>'Daily_Cash'!A233</f>
        <v/>
      </c>
      <c r="B233" s="13">
        <f>'Daily_Cash'!D233</f>
        <v/>
      </c>
      <c r="C233" s="13">
        <f>D233-B233</f>
        <v/>
      </c>
      <c r="D233" s="13">
        <f>'Daily_Cash'!B233</f>
        <v/>
      </c>
      <c r="E233" s="17">
        <f>D233/D232-1</f>
        <v/>
      </c>
      <c r="F233" s="17">
        <f>D233/D$2-1</f>
        <v/>
      </c>
      <c r="G233" s="17">
        <f>D233/MAX(D$2:D233)-1</f>
        <v/>
      </c>
    </row>
    <row r="234">
      <c r="A234" s="14">
        <f>'Daily_Cash'!A234</f>
        <v/>
      </c>
      <c r="B234" s="10">
        <f>'Daily_Cash'!D234</f>
        <v/>
      </c>
      <c r="C234" s="10">
        <f>D234-B234</f>
        <v/>
      </c>
      <c r="D234" s="10">
        <f>'Daily_Cash'!B234</f>
        <v/>
      </c>
      <c r="E234" s="16">
        <f>D234/D233-1</f>
        <v/>
      </c>
      <c r="F234" s="16">
        <f>D234/D$2-1</f>
        <v/>
      </c>
      <c r="G234" s="16">
        <f>D234/MAX(D$2:D234)-1</f>
        <v/>
      </c>
    </row>
    <row r="235">
      <c r="A235" s="15">
        <f>'Daily_Cash'!A235</f>
        <v/>
      </c>
      <c r="B235" s="13">
        <f>'Daily_Cash'!D235</f>
        <v/>
      </c>
      <c r="C235" s="13">
        <f>D235-B235</f>
        <v/>
      </c>
      <c r="D235" s="13">
        <f>'Daily_Cash'!B235</f>
        <v/>
      </c>
      <c r="E235" s="17">
        <f>D235/D234-1</f>
        <v/>
      </c>
      <c r="F235" s="17">
        <f>D235/D$2-1</f>
        <v/>
      </c>
      <c r="G235" s="17">
        <f>D235/MAX(D$2:D235)-1</f>
        <v/>
      </c>
    </row>
    <row r="236">
      <c r="A236" s="14">
        <f>'Daily_Cash'!A236</f>
        <v/>
      </c>
      <c r="B236" s="10">
        <f>'Daily_Cash'!D236</f>
        <v/>
      </c>
      <c r="C236" s="10">
        <f>D236-B236</f>
        <v/>
      </c>
      <c r="D236" s="10">
        <f>'Daily_Cash'!B236</f>
        <v/>
      </c>
      <c r="E236" s="16">
        <f>D236/D235-1</f>
        <v/>
      </c>
      <c r="F236" s="16">
        <f>D236/D$2-1</f>
        <v/>
      </c>
      <c r="G236" s="16">
        <f>D236/MAX(D$2:D236)-1</f>
        <v/>
      </c>
    </row>
    <row r="237">
      <c r="A237" s="15">
        <f>'Daily_Cash'!A237</f>
        <v/>
      </c>
      <c r="B237" s="13">
        <f>'Daily_Cash'!D237</f>
        <v/>
      </c>
      <c r="C237" s="13">
        <f>D237-B237</f>
        <v/>
      </c>
      <c r="D237" s="13">
        <f>'Daily_Cash'!B237</f>
        <v/>
      </c>
      <c r="E237" s="17">
        <f>D237/D236-1</f>
        <v/>
      </c>
      <c r="F237" s="17">
        <f>D237/D$2-1</f>
        <v/>
      </c>
      <c r="G237" s="17">
        <f>D237/MAX(D$2:D237)-1</f>
        <v/>
      </c>
    </row>
    <row r="238">
      <c r="A238" s="14">
        <f>'Daily_Cash'!A238</f>
        <v/>
      </c>
      <c r="B238" s="10">
        <f>'Daily_Cash'!D238</f>
        <v/>
      </c>
      <c r="C238" s="10">
        <f>D238-B238</f>
        <v/>
      </c>
      <c r="D238" s="10">
        <f>'Daily_Cash'!B238</f>
        <v/>
      </c>
      <c r="E238" s="16">
        <f>D238/D237-1</f>
        <v/>
      </c>
      <c r="F238" s="16">
        <f>D238/D$2-1</f>
        <v/>
      </c>
      <c r="G238" s="16">
        <f>D238/MAX(D$2:D238)-1</f>
        <v/>
      </c>
    </row>
    <row r="239">
      <c r="A239" s="15">
        <f>'Daily_Cash'!A239</f>
        <v/>
      </c>
      <c r="B239" s="13">
        <f>'Daily_Cash'!D239</f>
        <v/>
      </c>
      <c r="C239" s="13">
        <f>D239-B239</f>
        <v/>
      </c>
      <c r="D239" s="13">
        <f>'Daily_Cash'!B239</f>
        <v/>
      </c>
      <c r="E239" s="17">
        <f>D239/D238-1</f>
        <v/>
      </c>
      <c r="F239" s="17">
        <f>D239/D$2-1</f>
        <v/>
      </c>
      <c r="G239" s="17">
        <f>D239/MAX(D$2:D239)-1</f>
        <v/>
      </c>
    </row>
    <row r="240">
      <c r="A240" s="14">
        <f>'Daily_Cash'!A240</f>
        <v/>
      </c>
      <c r="B240" s="10">
        <f>'Daily_Cash'!D240</f>
        <v/>
      </c>
      <c r="C240" s="10">
        <f>D240-B240</f>
        <v/>
      </c>
      <c r="D240" s="10">
        <f>'Daily_Cash'!B240</f>
        <v/>
      </c>
      <c r="E240" s="16">
        <f>D240/D239-1</f>
        <v/>
      </c>
      <c r="F240" s="16">
        <f>D240/D$2-1</f>
        <v/>
      </c>
      <c r="G240" s="16">
        <f>D240/MAX(D$2:D240)-1</f>
        <v/>
      </c>
    </row>
    <row r="241">
      <c r="A241" s="15">
        <f>'Daily_Cash'!A241</f>
        <v/>
      </c>
      <c r="B241" s="13">
        <f>'Daily_Cash'!D241</f>
        <v/>
      </c>
      <c r="C241" s="13">
        <f>D241-B241</f>
        <v/>
      </c>
      <c r="D241" s="13">
        <f>'Daily_Cash'!B241</f>
        <v/>
      </c>
      <c r="E241" s="17">
        <f>D241/D240-1</f>
        <v/>
      </c>
      <c r="F241" s="17">
        <f>D241/D$2-1</f>
        <v/>
      </c>
      <c r="G241" s="17">
        <f>D241/MAX(D$2:D241)-1</f>
        <v/>
      </c>
    </row>
    <row r="242">
      <c r="A242" s="14">
        <f>'Daily_Cash'!A242</f>
        <v/>
      </c>
      <c r="B242" s="10">
        <f>'Daily_Cash'!D242</f>
        <v/>
      </c>
      <c r="C242" s="10">
        <f>D242-B242</f>
        <v/>
      </c>
      <c r="D242" s="10">
        <f>'Daily_Cash'!B242</f>
        <v/>
      </c>
      <c r="E242" s="16">
        <f>D242/D241-1</f>
        <v/>
      </c>
      <c r="F242" s="16">
        <f>D242/D$2-1</f>
        <v/>
      </c>
      <c r="G242" s="16">
        <f>D242/MAX(D$2:D242)-1</f>
        <v/>
      </c>
    </row>
    <row r="243">
      <c r="A243" s="15">
        <f>'Daily_Cash'!A243</f>
        <v/>
      </c>
      <c r="B243" s="13">
        <f>'Daily_Cash'!D243</f>
        <v/>
      </c>
      <c r="C243" s="13">
        <f>D243-B243</f>
        <v/>
      </c>
      <c r="D243" s="13">
        <f>'Daily_Cash'!B243</f>
        <v/>
      </c>
      <c r="E243" s="17">
        <f>D243/D242-1</f>
        <v/>
      </c>
      <c r="F243" s="17">
        <f>D243/D$2-1</f>
        <v/>
      </c>
      <c r="G243" s="17">
        <f>D243/MAX(D$2:D243)-1</f>
        <v/>
      </c>
    </row>
    <row r="244">
      <c r="A244" s="14">
        <f>'Daily_Cash'!A244</f>
        <v/>
      </c>
      <c r="B244" s="10">
        <f>'Daily_Cash'!D244</f>
        <v/>
      </c>
      <c r="C244" s="10">
        <f>D244-B244</f>
        <v/>
      </c>
      <c r="D244" s="10">
        <f>'Daily_Cash'!B244</f>
        <v/>
      </c>
      <c r="E244" s="16">
        <f>D244/D243-1</f>
        <v/>
      </c>
      <c r="F244" s="16">
        <f>D244/D$2-1</f>
        <v/>
      </c>
      <c r="G244" s="16">
        <f>D244/MAX(D$2:D244)-1</f>
        <v/>
      </c>
    </row>
    <row r="245">
      <c r="A245" s="15">
        <f>'Daily_Cash'!A245</f>
        <v/>
      </c>
      <c r="B245" s="13">
        <f>'Daily_Cash'!D245</f>
        <v/>
      </c>
      <c r="C245" s="13">
        <f>D245-B245</f>
        <v/>
      </c>
      <c r="D245" s="13">
        <f>'Daily_Cash'!B245</f>
        <v/>
      </c>
      <c r="E245" s="17">
        <f>D245/D244-1</f>
        <v/>
      </c>
      <c r="F245" s="17">
        <f>D245/D$2-1</f>
        <v/>
      </c>
      <c r="G245" s="17">
        <f>D245/MAX(D$2:D245)-1</f>
        <v/>
      </c>
    </row>
    <row r="246">
      <c r="A246" s="14">
        <f>'Daily_Cash'!A246</f>
        <v/>
      </c>
      <c r="B246" s="10">
        <f>'Daily_Cash'!D246</f>
        <v/>
      </c>
      <c r="C246" s="10">
        <f>D246-B246</f>
        <v/>
      </c>
      <c r="D246" s="10">
        <f>'Daily_Cash'!B246</f>
        <v/>
      </c>
      <c r="E246" s="16">
        <f>D246/D245-1</f>
        <v/>
      </c>
      <c r="F246" s="16">
        <f>D246/D$2-1</f>
        <v/>
      </c>
      <c r="G246" s="16">
        <f>D246/MAX(D$2:D246)-1</f>
        <v/>
      </c>
    </row>
    <row r="247">
      <c r="A247" s="15">
        <f>'Daily_Cash'!A247</f>
        <v/>
      </c>
      <c r="B247" s="13">
        <f>'Daily_Cash'!D247</f>
        <v/>
      </c>
      <c r="C247" s="13">
        <f>D247-B247</f>
        <v/>
      </c>
      <c r="D247" s="13">
        <f>'Daily_Cash'!B247</f>
        <v/>
      </c>
      <c r="E247" s="17">
        <f>D247/D246-1</f>
        <v/>
      </c>
      <c r="F247" s="17">
        <f>D247/D$2-1</f>
        <v/>
      </c>
      <c r="G247" s="17">
        <f>D247/MAX(D$2:D247)-1</f>
        <v/>
      </c>
    </row>
    <row r="248">
      <c r="A248" s="14">
        <f>'Daily_Cash'!A248</f>
        <v/>
      </c>
      <c r="B248" s="10">
        <f>'Daily_Cash'!D248</f>
        <v/>
      </c>
      <c r="C248" s="10">
        <f>D248-B248</f>
        <v/>
      </c>
      <c r="D248" s="10">
        <f>'Daily_Cash'!B248</f>
        <v/>
      </c>
      <c r="E248" s="16">
        <f>D248/D247-1</f>
        <v/>
      </c>
      <c r="F248" s="16">
        <f>D248/D$2-1</f>
        <v/>
      </c>
      <c r="G248" s="16">
        <f>D248/MAX(D$2:D248)-1</f>
        <v/>
      </c>
    </row>
    <row r="249">
      <c r="A249" s="15">
        <f>'Daily_Cash'!A249</f>
        <v/>
      </c>
      <c r="B249" s="13">
        <f>'Daily_Cash'!D249</f>
        <v/>
      </c>
      <c r="C249" s="13">
        <f>D249-B249</f>
        <v/>
      </c>
      <c r="D249" s="13">
        <f>'Daily_Cash'!B249</f>
        <v/>
      </c>
      <c r="E249" s="17">
        <f>D249/D248-1</f>
        <v/>
      </c>
      <c r="F249" s="17">
        <f>D249/D$2-1</f>
        <v/>
      </c>
      <c r="G249" s="17">
        <f>D249/MAX(D$2:D249)-1</f>
        <v/>
      </c>
    </row>
    <row r="250">
      <c r="A250" s="14">
        <f>'Daily_Cash'!A250</f>
        <v/>
      </c>
      <c r="B250" s="10">
        <f>'Daily_Cash'!D250</f>
        <v/>
      </c>
      <c r="C250" s="10">
        <f>D250-B250</f>
        <v/>
      </c>
      <c r="D250" s="10">
        <f>'Daily_Cash'!B250</f>
        <v/>
      </c>
      <c r="E250" s="16">
        <f>D250/D249-1</f>
        <v/>
      </c>
      <c r="F250" s="16">
        <f>D250/D$2-1</f>
        <v/>
      </c>
      <c r="G250" s="16">
        <f>D250/MAX(D$2:D250)-1</f>
        <v/>
      </c>
    </row>
    <row r="251">
      <c r="A251" s="15">
        <f>'Daily_Cash'!A251</f>
        <v/>
      </c>
      <c r="B251" s="13">
        <f>'Daily_Cash'!D251</f>
        <v/>
      </c>
      <c r="C251" s="13">
        <f>D251-B251</f>
        <v/>
      </c>
      <c r="D251" s="13">
        <f>'Daily_Cash'!B251</f>
        <v/>
      </c>
      <c r="E251" s="17">
        <f>D251/D250-1</f>
        <v/>
      </c>
      <c r="F251" s="17">
        <f>D251/D$2-1</f>
        <v/>
      </c>
      <c r="G251" s="17">
        <f>D251/MAX(D$2:D251)-1</f>
        <v/>
      </c>
    </row>
    <row r="252">
      <c r="A252" s="14">
        <f>'Daily_Cash'!A252</f>
        <v/>
      </c>
      <c r="B252" s="10">
        <f>'Daily_Cash'!D252</f>
        <v/>
      </c>
      <c r="C252" s="10">
        <f>D252-B252</f>
        <v/>
      </c>
      <c r="D252" s="10">
        <f>'Daily_Cash'!B252</f>
        <v/>
      </c>
      <c r="E252" s="16">
        <f>D252/D251-1</f>
        <v/>
      </c>
      <c r="F252" s="16">
        <f>D252/D$2-1</f>
        <v/>
      </c>
      <c r="G252" s="16">
        <f>D252/MAX(D$2:D252)-1</f>
        <v/>
      </c>
    </row>
    <row r="253">
      <c r="A253" s="15">
        <f>'Daily_Cash'!A253</f>
        <v/>
      </c>
      <c r="B253" s="13">
        <f>'Daily_Cash'!D253</f>
        <v/>
      </c>
      <c r="C253" s="13">
        <f>D253-B253</f>
        <v/>
      </c>
      <c r="D253" s="13">
        <f>'Daily_Cash'!B253</f>
        <v/>
      </c>
      <c r="E253" s="17">
        <f>D253/D252-1</f>
        <v/>
      </c>
      <c r="F253" s="17">
        <f>D253/D$2-1</f>
        <v/>
      </c>
      <c r="G253" s="17">
        <f>D253/MAX(D$2:D253)-1</f>
        <v/>
      </c>
    </row>
    <row r="254">
      <c r="A254" s="14">
        <f>'Daily_Cash'!A254</f>
        <v/>
      </c>
      <c r="B254" s="10">
        <f>'Daily_Cash'!D254</f>
        <v/>
      </c>
      <c r="C254" s="10">
        <f>D254-B254</f>
        <v/>
      </c>
      <c r="D254" s="10">
        <f>'Daily_Cash'!B254</f>
        <v/>
      </c>
      <c r="E254" s="16">
        <f>D254/D253-1</f>
        <v/>
      </c>
      <c r="F254" s="16">
        <f>D254/D$2-1</f>
        <v/>
      </c>
      <c r="G254" s="16">
        <f>D254/MAX(D$2:D254)-1</f>
        <v/>
      </c>
    </row>
    <row r="255">
      <c r="A255" s="15">
        <f>'Daily_Cash'!A255</f>
        <v/>
      </c>
      <c r="B255" s="13">
        <f>'Daily_Cash'!D255</f>
        <v/>
      </c>
      <c r="C255" s="13">
        <f>D255-B255</f>
        <v/>
      </c>
      <c r="D255" s="13">
        <f>'Daily_Cash'!B255</f>
        <v/>
      </c>
      <c r="E255" s="17">
        <f>D255/D254-1</f>
        <v/>
      </c>
      <c r="F255" s="17">
        <f>D255/D$2-1</f>
        <v/>
      </c>
      <c r="G255" s="17">
        <f>D255/MAX(D$2:D255)-1</f>
        <v/>
      </c>
    </row>
    <row r="256">
      <c r="A256" s="14">
        <f>'Daily_Cash'!A256</f>
        <v/>
      </c>
      <c r="B256" s="10">
        <f>'Daily_Cash'!D256</f>
        <v/>
      </c>
      <c r="C256" s="10">
        <f>D256-B256</f>
        <v/>
      </c>
      <c r="D256" s="10">
        <f>'Daily_Cash'!B256</f>
        <v/>
      </c>
      <c r="E256" s="16">
        <f>D256/D255-1</f>
        <v/>
      </c>
      <c r="F256" s="16">
        <f>D256/D$2-1</f>
        <v/>
      </c>
      <c r="G256" s="16">
        <f>D256/MAX(D$2:D256)-1</f>
        <v/>
      </c>
    </row>
    <row r="257">
      <c r="A257" s="15">
        <f>'Daily_Cash'!A257</f>
        <v/>
      </c>
      <c r="B257" s="13">
        <f>'Daily_Cash'!D257</f>
        <v/>
      </c>
      <c r="C257" s="13">
        <f>D257-B257</f>
        <v/>
      </c>
      <c r="D257" s="13">
        <f>'Daily_Cash'!B257</f>
        <v/>
      </c>
      <c r="E257" s="17">
        <f>D257/D256-1</f>
        <v/>
      </c>
      <c r="F257" s="17">
        <f>D257/D$2-1</f>
        <v/>
      </c>
      <c r="G257" s="17">
        <f>D257/MAX(D$2:D257)-1</f>
        <v/>
      </c>
    </row>
    <row r="258">
      <c r="A258" s="14">
        <f>'Daily_Cash'!A258</f>
        <v/>
      </c>
      <c r="B258" s="10">
        <f>'Daily_Cash'!D258</f>
        <v/>
      </c>
      <c r="C258" s="10">
        <f>D258-B258</f>
        <v/>
      </c>
      <c r="D258" s="10">
        <f>'Daily_Cash'!B258</f>
        <v/>
      </c>
      <c r="E258" s="16">
        <f>D258/D257-1</f>
        <v/>
      </c>
      <c r="F258" s="16">
        <f>D258/D$2-1</f>
        <v/>
      </c>
      <c r="G258" s="16">
        <f>D258/MAX(D$2:D258)-1</f>
        <v/>
      </c>
    </row>
    <row r="259">
      <c r="A259" s="15">
        <f>'Daily_Cash'!A259</f>
        <v/>
      </c>
      <c r="B259" s="13">
        <f>'Daily_Cash'!D259</f>
        <v/>
      </c>
      <c r="C259" s="13">
        <f>D259-B259</f>
        <v/>
      </c>
      <c r="D259" s="13">
        <f>'Daily_Cash'!B259</f>
        <v/>
      </c>
      <c r="E259" s="17">
        <f>D259/D258-1</f>
        <v/>
      </c>
      <c r="F259" s="17">
        <f>D259/D$2-1</f>
        <v/>
      </c>
      <c r="G259" s="17">
        <f>D259/MAX(D$2:D259)-1</f>
        <v/>
      </c>
    </row>
    <row r="260">
      <c r="A260" s="14">
        <f>'Daily_Cash'!A260</f>
        <v/>
      </c>
      <c r="B260" s="10">
        <f>'Daily_Cash'!D260</f>
        <v/>
      </c>
      <c r="C260" s="10">
        <f>D260-B260</f>
        <v/>
      </c>
      <c r="D260" s="10">
        <f>'Daily_Cash'!B260</f>
        <v/>
      </c>
      <c r="E260" s="16">
        <f>D260/D259-1</f>
        <v/>
      </c>
      <c r="F260" s="16">
        <f>D260/D$2-1</f>
        <v/>
      </c>
      <c r="G260" s="16">
        <f>D260/MAX(D$2:D260)-1</f>
        <v/>
      </c>
    </row>
    <row r="261">
      <c r="A261" s="15">
        <f>'Daily_Cash'!A261</f>
        <v/>
      </c>
      <c r="B261" s="13">
        <f>'Daily_Cash'!D261</f>
        <v/>
      </c>
      <c r="C261" s="13">
        <f>D261-B261</f>
        <v/>
      </c>
      <c r="D261" s="13">
        <f>'Daily_Cash'!B261</f>
        <v/>
      </c>
      <c r="E261" s="17">
        <f>D261/D260-1</f>
        <v/>
      </c>
      <c r="F261" s="17">
        <f>D261/D$2-1</f>
        <v/>
      </c>
      <c r="G261" s="17">
        <f>D261/MAX(D$2:D261)-1</f>
        <v/>
      </c>
    </row>
    <row r="262">
      <c r="A262" s="14">
        <f>'Daily_Cash'!A262</f>
        <v/>
      </c>
      <c r="B262" s="10">
        <f>'Daily_Cash'!D262</f>
        <v/>
      </c>
      <c r="C262" s="10">
        <f>D262-B262</f>
        <v/>
      </c>
      <c r="D262" s="10">
        <f>'Daily_Cash'!B262</f>
        <v/>
      </c>
      <c r="E262" s="16">
        <f>D262/D261-1</f>
        <v/>
      </c>
      <c r="F262" s="16">
        <f>D262/D$2-1</f>
        <v/>
      </c>
      <c r="G262" s="16">
        <f>D262/MAX(D$2:D262)-1</f>
        <v/>
      </c>
    </row>
  </sheetData>
  <conditionalFormatting sqref="E2:E26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2:F26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G2:G262">
    <cfRule type="cellIs" priority="5" operator="greaterThan" dxfId="0">
      <formula>0</formula>
    </cfRule>
    <cfRule type="cellIs" priority="6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 ht="20" customHeight="1">
      <c r="A1" s="7" t="inlineStr">
        <is>
          <t>Sector</t>
        </is>
      </c>
      <c r="B1" s="7" t="inlineStr">
        <is>
          <t>Market Value ($)</t>
        </is>
      </c>
      <c r="C1" s="7" t="inlineStr">
        <is>
          <t>Weight</t>
        </is>
      </c>
    </row>
    <row r="2">
      <c r="A2" s="8" t="inlineStr">
        <is>
          <t>Communication Services</t>
        </is>
      </c>
      <c r="B2" s="10">
        <f>SUMIF(Positions!$C$2:$C$19,A2,Positions!$J$2:$J$19)</f>
        <v/>
      </c>
      <c r="C2" s="16">
        <f>B2/SUM($B$2:$B$9)</f>
        <v/>
      </c>
    </row>
    <row r="3">
      <c r="A3" s="11" t="inlineStr">
        <is>
          <t>Energy / Materials (ETF)</t>
        </is>
      </c>
      <c r="B3" s="13">
        <f>SUMIF(Positions!$C$2:$C$19,A3,Positions!$J$2:$J$19)</f>
        <v/>
      </c>
      <c r="C3" s="17">
        <f>B3/SUM($B$2:$B$9)</f>
        <v/>
      </c>
    </row>
    <row r="4">
      <c r="A4" s="8" t="inlineStr">
        <is>
          <t>Financials</t>
        </is>
      </c>
      <c r="B4" s="10">
        <f>SUMIF(Positions!$C$2:$C$19,A4,Positions!$J$2:$J$19)</f>
        <v/>
      </c>
      <c r="C4" s="16">
        <f>B4/SUM($B$2:$B$9)</f>
        <v/>
      </c>
    </row>
    <row r="5">
      <c r="A5" s="11" t="inlineStr">
        <is>
          <t>Industrials</t>
        </is>
      </c>
      <c r="B5" s="13">
        <f>SUMIF(Positions!$C$2:$C$19,A5,Positions!$J$2:$J$19)</f>
        <v/>
      </c>
      <c r="C5" s="17">
        <f>B5/SUM($B$2:$B$9)</f>
        <v/>
      </c>
    </row>
    <row r="6">
      <c r="A6" s="8" t="inlineStr">
        <is>
          <t>Information Technology</t>
        </is>
      </c>
      <c r="B6" s="10">
        <f>SUMIF(Positions!$C$2:$C$19,A6,Positions!$J$2:$J$19)</f>
        <v/>
      </c>
      <c r="C6" s="16">
        <f>B6/SUM($B$2:$B$9)</f>
        <v/>
      </c>
    </row>
    <row r="7">
      <c r="A7" s="11" t="inlineStr">
        <is>
          <t>Information Technology (ETF)</t>
        </is>
      </c>
      <c r="B7" s="13">
        <f>SUMIF(Positions!$C$2:$C$19,A7,Positions!$J$2:$J$19)</f>
        <v/>
      </c>
      <c r="C7" s="17">
        <f>B7/SUM($B$2:$B$9)</f>
        <v/>
      </c>
    </row>
    <row r="8">
      <c r="A8" s="8" t="inlineStr">
        <is>
          <t>Materials (ETF)</t>
        </is>
      </c>
      <c r="B8" s="10">
        <f>SUMIF(Positions!$C$2:$C$19,A8,Positions!$J$2:$J$19)</f>
        <v/>
      </c>
      <c r="C8" s="16">
        <f>B8/SUM($B$2:$B$9)</f>
        <v/>
      </c>
    </row>
    <row r="9">
      <c r="A9" s="11" t="inlineStr">
        <is>
          <t>Real Estate</t>
        </is>
      </c>
      <c r="B9" s="13">
        <f>SUMIF(Positions!$C$2:$C$19,A9,Positions!$J$2:$J$19)</f>
        <v/>
      </c>
      <c r="C9" s="17">
        <f>B9/SUM($B$2:$B$9)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 ht="20" customHeight="1">
      <c r="A1" s="7" t="inlineStr">
        <is>
          <t>Country</t>
        </is>
      </c>
      <c r="B1" s="7" t="inlineStr">
        <is>
          <t>Market Value ($)</t>
        </is>
      </c>
      <c r="C1" s="7" t="inlineStr">
        <is>
          <t>Weight</t>
        </is>
      </c>
    </row>
    <row r="2">
      <c r="A2" s="8" t="inlineStr">
        <is>
          <t>Canada (ETF Domicile)</t>
        </is>
      </c>
      <c r="B2" s="10">
        <f>SUMPRODUCT(('Reference_Data'!$E$2:$E$19=A2)*Positions!$J$2:$J$19)</f>
        <v/>
      </c>
      <c r="C2" s="16">
        <f>B2/SUM($B$2:$B$5)</f>
        <v/>
      </c>
    </row>
    <row r="3">
      <c r="A3" s="11" t="inlineStr">
        <is>
          <t>Netherlands / Switzerland</t>
        </is>
      </c>
      <c r="B3" s="13">
        <f>SUMPRODUCT(('Reference_Data'!$E$2:$E$19=A3)*Positions!$J$2:$J$19)</f>
        <v/>
      </c>
      <c r="C3" s="17">
        <f>B3/SUM($B$2:$B$5)</f>
        <v/>
      </c>
    </row>
    <row r="4">
      <c r="A4" s="8" t="inlineStr">
        <is>
          <t>United Arab Emirates</t>
        </is>
      </c>
      <c r="B4" s="10">
        <f>SUMPRODUCT(('Reference_Data'!$E$2:$E$19=A4)*Positions!$J$2:$J$19)</f>
        <v/>
      </c>
      <c r="C4" s="16">
        <f>B4/SUM($B$2:$B$5)</f>
        <v/>
      </c>
    </row>
    <row r="5">
      <c r="A5" s="11" t="inlineStr">
        <is>
          <t>United States</t>
        </is>
      </c>
      <c r="B5" s="13">
        <f>SUMPRODUCT(('Reference_Data'!$E$2:$E$19=A5)*Positions!$J$2:$J$19)</f>
        <v/>
      </c>
      <c r="C5" s="17">
        <f>B5/SUM($B$2:$B$5)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2026-07-05T13:47:48Z</dcterms:created>
  <dcterms:modified xsi:type="dcterms:W3CDTF">2026-07-05T13:47:48Z</dcterms:modified>
</cp:coreProperties>
</file>